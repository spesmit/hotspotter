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4400" yWindow="0" windowWidth="14400" windowHeight="16515" tabRatio="893" firstSheet="6" activeTab="11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</workbook>
</file>

<file path=xl/calcChain.xml><?xml version="1.0" encoding="utf-8"?>
<calcChain xmlns="http://schemas.openxmlformats.org/spreadsheetml/2006/main">
  <c r="C4" i="48" l="1"/>
  <c r="C4" i="50"/>
  <c r="C4" i="49"/>
  <c r="C4" i="47"/>
  <c r="C4" i="46"/>
  <c r="C4" i="45"/>
  <c r="C4" i="44"/>
  <c r="C4" i="42"/>
  <c r="C26" i="43"/>
  <c r="D26" i="43"/>
  <c r="L7" i="1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J7" i="1"/>
  <c r="J13" i="1"/>
  <c r="J19" i="1"/>
  <c r="K7" i="1"/>
  <c r="K13" i="1"/>
  <c r="K19" i="1"/>
  <c r="L13" i="1"/>
  <c r="L19" i="1"/>
  <c r="M7" i="1"/>
  <c r="M13" i="1"/>
  <c r="M19" i="1"/>
  <c r="N7" i="1"/>
  <c r="N13" i="1"/>
  <c r="N19" i="1"/>
  <c r="O7" i="1"/>
  <c r="O13" i="1"/>
  <c r="O19" i="1"/>
  <c r="P7" i="1"/>
  <c r="P13" i="1"/>
  <c r="P19" i="1"/>
  <c r="Q7" i="1"/>
  <c r="Q13" i="1"/>
  <c r="Q19" i="1"/>
  <c r="R7" i="1"/>
  <c r="R13" i="1"/>
  <c r="R19" i="1"/>
  <c r="S7" i="1"/>
  <c r="S13" i="1"/>
  <c r="S19" i="1"/>
  <c r="T7" i="1"/>
  <c r="T13" i="1"/>
  <c r="T19" i="1"/>
  <c r="U7" i="1"/>
  <c r="U13" i="1"/>
  <c r="U19" i="1"/>
  <c r="V7" i="1"/>
  <c r="V13" i="1"/>
  <c r="V19" i="1"/>
  <c r="W7" i="1"/>
  <c r="W13" i="1"/>
  <c r="W19" i="1"/>
  <c r="X7" i="1"/>
  <c r="X13" i="1"/>
  <c r="X19" i="1"/>
  <c r="Y7" i="1"/>
  <c r="Y13" i="1"/>
  <c r="Y19" i="1"/>
  <c r="L8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J8" i="1"/>
  <c r="J14" i="1"/>
  <c r="J20" i="1"/>
  <c r="K8" i="1"/>
  <c r="K14" i="1"/>
  <c r="K20" i="1"/>
  <c r="L14" i="1"/>
  <c r="L20" i="1"/>
  <c r="M8" i="1"/>
  <c r="M14" i="1"/>
  <c r="M20" i="1"/>
  <c r="N8" i="1"/>
  <c r="N14" i="1"/>
  <c r="N20" i="1"/>
  <c r="O8" i="1"/>
  <c r="O14" i="1"/>
  <c r="O20" i="1"/>
  <c r="P8" i="1"/>
  <c r="P14" i="1"/>
  <c r="P20" i="1"/>
  <c r="Q8" i="1"/>
  <c r="Q14" i="1"/>
  <c r="Q20" i="1"/>
  <c r="R8" i="1"/>
  <c r="R14" i="1"/>
  <c r="R20" i="1"/>
  <c r="S8" i="1"/>
  <c r="S14" i="1"/>
  <c r="S20" i="1"/>
  <c r="T8" i="1"/>
  <c r="T14" i="1"/>
  <c r="T20" i="1"/>
  <c r="U8" i="1"/>
  <c r="U14" i="1"/>
  <c r="U20" i="1"/>
  <c r="V8" i="1"/>
  <c r="V14" i="1"/>
  <c r="V20" i="1"/>
  <c r="W8" i="1"/>
  <c r="W14" i="1"/>
  <c r="W20" i="1"/>
  <c r="X8" i="1"/>
  <c r="X14" i="1"/>
  <c r="X20" i="1"/>
  <c r="Y8" i="1"/>
  <c r="Y14" i="1"/>
  <c r="Y20" i="1"/>
  <c r="M9" i="1"/>
  <c r="M15" i="1"/>
  <c r="L15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J9" i="1"/>
  <c r="J15" i="1"/>
  <c r="J21" i="1"/>
  <c r="K9" i="1"/>
  <c r="K15" i="1"/>
  <c r="K21" i="1"/>
  <c r="L9" i="1"/>
  <c r="L21" i="1"/>
  <c r="M21" i="1"/>
  <c r="N9" i="1"/>
  <c r="N15" i="1"/>
  <c r="N21" i="1"/>
  <c r="O9" i="1"/>
  <c r="O15" i="1"/>
  <c r="O21" i="1"/>
  <c r="P9" i="1"/>
  <c r="P15" i="1"/>
  <c r="P21" i="1"/>
  <c r="Q9" i="1"/>
  <c r="Q15" i="1"/>
  <c r="Q21" i="1"/>
  <c r="R9" i="1"/>
  <c r="R15" i="1"/>
  <c r="R21" i="1"/>
  <c r="S9" i="1"/>
  <c r="S15" i="1"/>
  <c r="S21" i="1"/>
  <c r="T9" i="1"/>
  <c r="T15" i="1"/>
  <c r="T21" i="1"/>
  <c r="U9" i="1"/>
  <c r="U15" i="1"/>
  <c r="U21" i="1"/>
  <c r="V9" i="1"/>
  <c r="V15" i="1"/>
  <c r="V21" i="1"/>
  <c r="W9" i="1"/>
  <c r="W15" i="1"/>
  <c r="W21" i="1"/>
  <c r="X9" i="1"/>
  <c r="X15" i="1"/>
  <c r="X21" i="1"/>
  <c r="Y9" i="1"/>
  <c r="Y15" i="1"/>
  <c r="Y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J10" i="1"/>
  <c r="J16" i="1"/>
  <c r="J22" i="1"/>
  <c r="K10" i="1"/>
  <c r="K16" i="1"/>
  <c r="K22" i="1"/>
  <c r="L10" i="1"/>
  <c r="L16" i="1"/>
  <c r="L22" i="1"/>
  <c r="M10" i="1"/>
  <c r="M16" i="1"/>
  <c r="M22" i="1"/>
  <c r="N10" i="1"/>
  <c r="N16" i="1"/>
  <c r="N22" i="1"/>
  <c r="O10" i="1"/>
  <c r="O16" i="1"/>
  <c r="O22" i="1"/>
  <c r="P10" i="1"/>
  <c r="P16" i="1"/>
  <c r="P22" i="1"/>
  <c r="Q10" i="1"/>
  <c r="Q16" i="1"/>
  <c r="Q22" i="1"/>
  <c r="R10" i="1"/>
  <c r="R16" i="1"/>
  <c r="R22" i="1"/>
  <c r="S10" i="1"/>
  <c r="S16" i="1"/>
  <c r="S22" i="1"/>
  <c r="T10" i="1"/>
  <c r="T16" i="1"/>
  <c r="T22" i="1"/>
  <c r="U10" i="1"/>
  <c r="U16" i="1"/>
  <c r="U22" i="1"/>
  <c r="V10" i="1"/>
  <c r="V16" i="1"/>
  <c r="V22" i="1"/>
  <c r="W10" i="1"/>
  <c r="W16" i="1"/>
  <c r="W22" i="1"/>
  <c r="X10" i="1"/>
  <c r="X16" i="1"/>
  <c r="X22" i="1"/>
  <c r="Y10" i="1"/>
  <c r="Y16" i="1"/>
  <c r="Y22" i="1"/>
  <c r="C4" i="43"/>
  <c r="C4" i="2"/>
  <c r="B2" i="43"/>
  <c r="B2" i="42"/>
  <c r="C4" i="15"/>
  <c r="D4" i="42"/>
  <c r="B9" i="43"/>
  <c r="U17" i="1"/>
  <c r="S17" i="1"/>
  <c r="Q17" i="1"/>
  <c r="P17" i="1"/>
  <c r="Q11" i="1"/>
  <c r="N17" i="1"/>
  <c r="O17" i="1"/>
  <c r="N11" i="1"/>
  <c r="M17" i="1"/>
  <c r="M11" i="1"/>
  <c r="K17" i="1"/>
  <c r="J17" i="1"/>
  <c r="H17" i="1"/>
  <c r="I11" i="1"/>
  <c r="H11" i="1"/>
  <c r="G17" i="1"/>
  <c r="F17" i="1"/>
  <c r="E17" i="1"/>
  <c r="C17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<sst xmlns="http://schemas.openxmlformats.org/spreadsheetml/2006/main" count="294" uniqueCount="52">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</sst>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BEF-46F5-AE17-C72F50E55F14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23.5</c:v>
                </c:pt>
                <c:pt idx="12">
                  <c:v>23</c:v>
                </c:pt>
                <c:pt idx="13">
                  <c:v>12</c:v>
                </c:pt>
                <c:pt idx="14">
                  <c:v>29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16</c:v>
                </c:pt>
                <c:pt idx="19">
                  <c:v>6</c:v>
                </c:pt>
                <c:pt idx="20">
                  <c:v>18</c:v>
                </c:pt>
                <c:pt idx="21">
                  <c:v>10</c:v>
                </c:pt>
                <c:pt idx="22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BEF-46F5-AE17-C72F50E55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25424"/>
        <c:axId val="9312596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16.844166666666666</c:v>
                </c:pt>
                <c:pt idx="12">
                  <c:v>17.317692307692308</c:v>
                </c:pt>
                <c:pt idx="13">
                  <c:v>16.937857142857144</c:v>
                </c:pt>
                <c:pt idx="14">
                  <c:v>17.742000000000001</c:v>
                </c:pt>
                <c:pt idx="15">
                  <c:v>17.633125</c:v>
                </c:pt>
                <c:pt idx="16">
                  <c:v>17.53705882352941</c:v>
                </c:pt>
                <c:pt idx="17">
                  <c:v>17.562777777777779</c:v>
                </c:pt>
                <c:pt idx="18">
                  <c:v>17.480526315789472</c:v>
                </c:pt>
                <c:pt idx="19">
                  <c:v>16.906500000000001</c:v>
                </c:pt>
                <c:pt idx="20">
                  <c:v>16.958571428571428</c:v>
                </c:pt>
                <c:pt idx="21">
                  <c:v>16.869545454545456</c:v>
                </c:pt>
                <c:pt idx="22">
                  <c:v>16.831739130434784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BEF-46F5-AE17-C72F50E55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25424"/>
        <c:axId val="93125968"/>
      </c:lineChart>
      <c:catAx>
        <c:axId val="9312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5968"/>
        <c:crosses val="autoZero"/>
        <c:auto val="0"/>
        <c:lblAlgn val="ctr"/>
        <c:lblOffset val="100"/>
        <c:noMultiLvlLbl val="0"/>
      </c:catAx>
      <c:valAx>
        <c:axId val="9312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C7-4E8E-94DF-193D09A5718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1.5</c:v>
                </c:pt>
                <c:pt idx="12">
                  <c:v>12</c:v>
                </c:pt>
                <c:pt idx="13">
                  <c:v>0</c:v>
                </c:pt>
                <c:pt idx="14">
                  <c:v>20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5</c:v>
                </c:pt>
                <c:pt idx="19">
                  <c:v>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8C7-4E8E-94DF-193D09A57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26512"/>
        <c:axId val="9313521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5.875</c:v>
                </c:pt>
                <c:pt idx="12">
                  <c:v>6.3461538461538458</c:v>
                </c:pt>
                <c:pt idx="13">
                  <c:v>5.8928571428571432</c:v>
                </c:pt>
                <c:pt idx="14">
                  <c:v>6.833333333333333</c:v>
                </c:pt>
                <c:pt idx="15">
                  <c:v>6.78125</c:v>
                </c:pt>
                <c:pt idx="16">
                  <c:v>6.382352941176471</c:v>
                </c:pt>
                <c:pt idx="17">
                  <c:v>6.083333333333333</c:v>
                </c:pt>
                <c:pt idx="18">
                  <c:v>6.0263157894736841</c:v>
                </c:pt>
                <c:pt idx="19">
                  <c:v>5.875</c:v>
                </c:pt>
                <c:pt idx="20">
                  <c:v>5.8809523809523814</c:v>
                </c:pt>
                <c:pt idx="21">
                  <c:v>5.7045454545454541</c:v>
                </c:pt>
                <c:pt idx="22">
                  <c:v>5.7608695652173916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8C7-4E8E-94DF-193D09A57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26512"/>
        <c:axId val="93135216"/>
      </c:lineChart>
      <c:catAx>
        <c:axId val="93126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5216"/>
        <c:crosses val="autoZero"/>
        <c:auto val="0"/>
        <c:lblAlgn val="ctr"/>
        <c:lblOffset val="100"/>
        <c:noMultiLvlLbl val="0"/>
      </c:catAx>
      <c:valAx>
        <c:axId val="93135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6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D2-4BD3-8327-DD1BEC2342CC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0</c:v>
                </c:pt>
                <c:pt idx="15">
                  <c:v>3</c:v>
                </c:pt>
                <c:pt idx="16">
                  <c:v>11</c:v>
                </c:pt>
                <c:pt idx="17">
                  <c:v>10</c:v>
                </c:pt>
                <c:pt idx="18">
                  <c:v>6</c:v>
                </c:pt>
                <c:pt idx="19">
                  <c:v>3</c:v>
                </c:pt>
                <c:pt idx="20">
                  <c:v>7</c:v>
                </c:pt>
                <c:pt idx="21">
                  <c:v>0</c:v>
                </c:pt>
                <c:pt idx="22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D2-4BD3-8327-DD1BEC234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37392"/>
        <c:axId val="9312705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6.4427500000000002</c:v>
                </c:pt>
                <c:pt idx="12">
                  <c:v>6.4086923076923075</c:v>
                </c:pt>
                <c:pt idx="13">
                  <c:v>6.5223571428571434</c:v>
                </c:pt>
                <c:pt idx="14">
                  <c:v>6.0875333333333339</c:v>
                </c:pt>
                <c:pt idx="15">
                  <c:v>5.8945625000000001</c:v>
                </c:pt>
                <c:pt idx="16">
                  <c:v>6.1948823529411765</c:v>
                </c:pt>
                <c:pt idx="17">
                  <c:v>6.4062777777777775</c:v>
                </c:pt>
                <c:pt idx="18">
                  <c:v>6.3848947368421056</c:v>
                </c:pt>
                <c:pt idx="19">
                  <c:v>6.2156500000000001</c:v>
                </c:pt>
                <c:pt idx="20">
                  <c:v>6.2529999999999992</c:v>
                </c:pt>
                <c:pt idx="21">
                  <c:v>6.1051363636363627</c:v>
                </c:pt>
                <c:pt idx="22">
                  <c:v>6.2309999999999999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BD2-4BD3-8327-DD1BEC234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37392"/>
        <c:axId val="93127056"/>
      </c:lineChart>
      <c:catAx>
        <c:axId val="9313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7056"/>
        <c:crosses val="autoZero"/>
        <c:auto val="0"/>
        <c:lblAlgn val="ctr"/>
        <c:lblOffset val="100"/>
        <c:noMultiLvlLbl val="0"/>
      </c:catAx>
      <c:valAx>
        <c:axId val="93127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7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C7-440D-81C2-243A05B61772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5</c:v>
                </c:pt>
                <c:pt idx="21">
                  <c:v>10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C7-440D-81C2-243A05B6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30864"/>
        <c:axId val="9313140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4.5226428571428574</c:v>
                </c:pt>
                <c:pt idx="14">
                  <c:v>4.8211333333333339</c:v>
                </c:pt>
                <c:pt idx="15">
                  <c:v>4.9573125000000005</c:v>
                </c:pt>
                <c:pt idx="16">
                  <c:v>4.9598235294117652</c:v>
                </c:pt>
                <c:pt idx="17">
                  <c:v>5.0731666666666673</c:v>
                </c:pt>
                <c:pt idx="18">
                  <c:v>5.0693157894736842</c:v>
                </c:pt>
                <c:pt idx="19">
                  <c:v>4.8158500000000002</c:v>
                </c:pt>
                <c:pt idx="20">
                  <c:v>4.8246190476190476</c:v>
                </c:pt>
                <c:pt idx="21">
                  <c:v>5.0598636363636365</c:v>
                </c:pt>
                <c:pt idx="22">
                  <c:v>4.8398695652173913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7C7-440D-81C2-243A05B6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30864"/>
        <c:axId val="93131408"/>
      </c:lineChart>
      <c:catAx>
        <c:axId val="9313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1408"/>
        <c:crosses val="autoZero"/>
        <c:auto val="0"/>
        <c:lblAlgn val="ctr"/>
        <c:lblOffset val="100"/>
        <c:noMultiLvlLbl val="0"/>
      </c:catAx>
      <c:valAx>
        <c:axId val="931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0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2C-4317-92A9-C8123AC59F1C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92C-4317-92A9-C8123AC5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36848"/>
        <c:axId val="93130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2C-4317-92A9-C8123AC5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36848"/>
        <c:axId val="93130320"/>
      </c:lineChart>
      <c:catAx>
        <c:axId val="9313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0320"/>
        <c:crosses val="autoZero"/>
        <c:auto val="0"/>
        <c:lblAlgn val="ctr"/>
        <c:lblOffset val="100"/>
        <c:noMultiLvlLbl val="0"/>
      </c:catAx>
      <c:valAx>
        <c:axId val="93130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6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7-446F-9DA4-374D23249E5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67-446F-9DA4-374D23249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133040"/>
        <c:axId val="1959570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67-446F-9DA4-374D23249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33040"/>
        <c:axId val="195957024"/>
      </c:lineChart>
      <c:catAx>
        <c:axId val="9313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7024"/>
        <c:crosses val="autoZero"/>
        <c:auto val="1"/>
        <c:lblAlgn val="ctr"/>
        <c:lblOffset val="100"/>
        <c:noMultiLvlLbl val="1"/>
      </c:catAx>
      <c:valAx>
        <c:axId val="1959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3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C9-4E6E-979A-9D1607F4BE6F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C9-4E6E-979A-9D1607F4B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42384"/>
        <c:axId val="956483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4C9-4E6E-979A-9D1607F4B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2384"/>
        <c:axId val="95648368"/>
      </c:lineChart>
      <c:catAx>
        <c:axId val="9564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8368"/>
        <c:crosses val="autoZero"/>
        <c:auto val="1"/>
        <c:lblAlgn val="ctr"/>
        <c:lblOffset val="100"/>
        <c:noMultiLvlLbl val="1"/>
      </c:catAx>
      <c:valAx>
        <c:axId val="95648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2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A3-421E-AC64-FDA66A7AFCC4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6A3-421E-AC64-FDA66A7AF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39664"/>
        <c:axId val="956516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6A3-421E-AC64-FDA66A7AF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39664"/>
        <c:axId val="95651632"/>
      </c:lineChart>
      <c:catAx>
        <c:axId val="95639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1632"/>
        <c:crosses val="autoZero"/>
        <c:auto val="1"/>
        <c:lblAlgn val="ctr"/>
        <c:lblOffset val="100"/>
        <c:noMultiLvlLbl val="1"/>
      </c:catAx>
      <c:valAx>
        <c:axId val="95651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9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18-4D71-9E5A-266052503EBD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18-4D71-9E5A-26605250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40752"/>
        <c:axId val="956434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18-4D71-9E5A-26605250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0752"/>
        <c:axId val="95643472"/>
      </c:lineChart>
      <c:catAx>
        <c:axId val="9564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3472"/>
        <c:crosses val="autoZero"/>
        <c:auto val="1"/>
        <c:lblAlgn val="ctr"/>
        <c:lblOffset val="100"/>
        <c:noMultiLvlLbl val="1"/>
      </c:catAx>
      <c:valAx>
        <c:axId val="95643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0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B60-452F-882D-94B71DCB3AEA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B60-452F-882D-94B71DCB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37488"/>
        <c:axId val="9565000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B60-452F-882D-94B71DCB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37488"/>
        <c:axId val="95650000"/>
      </c:lineChart>
      <c:catAx>
        <c:axId val="9563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000"/>
        <c:crosses val="autoZero"/>
        <c:auto val="1"/>
        <c:lblAlgn val="ctr"/>
        <c:lblOffset val="100"/>
        <c:noMultiLvlLbl val="1"/>
      </c:catAx>
      <c:valAx>
        <c:axId val="95650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7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F4-4D7A-9199-3103750B4B44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F4-4D7A-9199-3103750B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38576"/>
        <c:axId val="9563912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5F4-4D7A-9199-3103750B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38576"/>
        <c:axId val="95639120"/>
      </c:lineChart>
      <c:catAx>
        <c:axId val="9563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9120"/>
        <c:crosses val="autoZero"/>
        <c:auto val="0"/>
        <c:lblAlgn val="ctr"/>
        <c:lblOffset val="100"/>
        <c:noMultiLvlLbl val="1"/>
      </c:catAx>
      <c:valAx>
        <c:axId val="9563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F4-4787-8FF9-A38AA8416882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8F4-4787-8FF9-A38AA841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41840"/>
        <c:axId val="9564292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F4-4787-8FF9-A38AA841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1840"/>
        <c:axId val="95642928"/>
      </c:lineChart>
      <c:catAx>
        <c:axId val="9564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2928"/>
        <c:crosses val="autoZero"/>
        <c:auto val="1"/>
        <c:lblAlgn val="ctr"/>
        <c:lblOffset val="100"/>
        <c:noMultiLvlLbl val="1"/>
      </c:catAx>
      <c:valAx>
        <c:axId val="95642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1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DF-4936-A79B-A99F76A308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DF-4936-A79B-A99F76A30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44560"/>
        <c:axId val="9564564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DF-4936-A79B-A99F76A30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4560"/>
        <c:axId val="95645648"/>
      </c:lineChart>
      <c:catAx>
        <c:axId val="9564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5648"/>
        <c:crosses val="autoZero"/>
        <c:auto val="1"/>
        <c:lblAlgn val="ctr"/>
        <c:lblOffset val="100"/>
        <c:noMultiLvlLbl val="1"/>
      </c:catAx>
      <c:valAx>
        <c:axId val="95645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4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79-443A-9667-9ED0D39CBC7F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079-443A-9667-9ED0D39CB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648912"/>
        <c:axId val="966715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079-443A-9667-9ED0D39CB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8912"/>
        <c:axId val="96671520"/>
      </c:lineChart>
      <c:catAx>
        <c:axId val="9564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1520"/>
        <c:crosses val="autoZero"/>
        <c:auto val="1"/>
        <c:lblAlgn val="ctr"/>
        <c:lblOffset val="100"/>
        <c:noMultiLvlLbl val="1"/>
      </c:catAx>
      <c:valAx>
        <c:axId val="96671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EF-442D-8961-6A2E1803D2E6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EF-442D-8961-6A2E1803D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67712"/>
        <c:axId val="9666662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EF-442D-8961-6A2E1803D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67712"/>
        <c:axId val="96666624"/>
      </c:lineChart>
      <c:catAx>
        <c:axId val="96667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6624"/>
        <c:crosses val="autoZero"/>
        <c:auto val="1"/>
        <c:lblAlgn val="ctr"/>
        <c:lblOffset val="100"/>
        <c:noMultiLvlLbl val="1"/>
      </c:catAx>
      <c:valAx>
        <c:axId val="96666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7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77-4109-B3D8-EDCB0C9D04B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777-4109-B3D8-EDCB0C9D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75872"/>
        <c:axId val="96673696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777-4109-B3D8-EDCB0C9D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75872"/>
        <c:axId val="96673696"/>
      </c:lineChart>
      <c:catAx>
        <c:axId val="9667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3696"/>
        <c:crosses val="autoZero"/>
        <c:auto val="0"/>
        <c:lblAlgn val="ctr"/>
        <c:lblOffset val="100"/>
        <c:noMultiLvlLbl val="1"/>
      </c:catAx>
      <c:valAx>
        <c:axId val="9667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39C-4F5A-A4D9-E37CBD9F3AAF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39C-4F5A-A4D9-E37CBD9F3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69888"/>
        <c:axId val="9667043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39C-4F5A-A4D9-E37CBD9F3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69888"/>
        <c:axId val="96670432"/>
      </c:lineChart>
      <c:catAx>
        <c:axId val="9666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0432"/>
        <c:crosses val="autoZero"/>
        <c:auto val="1"/>
        <c:lblAlgn val="ctr"/>
        <c:lblOffset val="100"/>
        <c:noMultiLvlLbl val="1"/>
      </c:catAx>
      <c:valAx>
        <c:axId val="96670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9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18-420D-8E96-BC8B304E1BE8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E18-420D-8E96-BC8B304E1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62272"/>
        <c:axId val="9666281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18-420D-8E96-BC8B304E1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62272"/>
        <c:axId val="96662816"/>
      </c:lineChart>
      <c:catAx>
        <c:axId val="9666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2816"/>
        <c:crosses val="autoZero"/>
        <c:auto val="1"/>
        <c:lblAlgn val="ctr"/>
        <c:lblOffset val="100"/>
        <c:noMultiLvlLbl val="1"/>
      </c:catAx>
      <c:valAx>
        <c:axId val="96662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2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AEB-49FE-8E57-2AC3C9043ED6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AEB-49FE-8E57-2AC3C9043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70976"/>
        <c:axId val="9666825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AEB-49FE-8E57-2AC3C9043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70976"/>
        <c:axId val="96668256"/>
      </c:lineChart>
      <c:catAx>
        <c:axId val="9667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8256"/>
        <c:crosses val="autoZero"/>
        <c:auto val="1"/>
        <c:lblAlgn val="ctr"/>
        <c:lblOffset val="100"/>
        <c:noMultiLvlLbl val="1"/>
      </c:catAx>
      <c:valAx>
        <c:axId val="96668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0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42-499E-956D-3D35CDBC909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242-499E-956D-3D35CDBC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68800"/>
        <c:axId val="9666118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242-499E-956D-3D35CDBC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68800"/>
        <c:axId val="96661184"/>
      </c:lineChart>
      <c:catAx>
        <c:axId val="9666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1184"/>
        <c:crosses val="autoZero"/>
        <c:auto val="1"/>
        <c:lblAlgn val="ctr"/>
        <c:lblOffset val="100"/>
        <c:noMultiLvlLbl val="1"/>
      </c:catAx>
      <c:valAx>
        <c:axId val="966611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68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F4-49DE-AD4E-B15028F6553E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F4-49DE-AD4E-B15028F6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75328"/>
        <c:axId val="9822614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CF4-49DE-AD4E-B15028F6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75328"/>
        <c:axId val="98226144"/>
      </c:lineChart>
      <c:catAx>
        <c:axId val="9667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6144"/>
        <c:crosses val="autoZero"/>
        <c:auto val="0"/>
        <c:lblAlgn val="ctr"/>
        <c:lblOffset val="100"/>
        <c:noMultiLvlLbl val="1"/>
      </c:catAx>
      <c:valAx>
        <c:axId val="9822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A2-42B1-9E4F-541A3FE30426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A2-42B1-9E4F-541A3FE3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19616"/>
        <c:axId val="9822505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3A2-42B1-9E4F-541A3FE3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19616"/>
        <c:axId val="98225056"/>
      </c:lineChart>
      <c:catAx>
        <c:axId val="9821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5056"/>
        <c:crosses val="autoZero"/>
        <c:auto val="1"/>
        <c:lblAlgn val="ctr"/>
        <c:lblOffset val="100"/>
        <c:noMultiLvlLbl val="1"/>
      </c:catAx>
      <c:valAx>
        <c:axId val="982250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A26-41E8-8FE8-63813489428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A26-41E8-8FE8-63813489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18528"/>
        <c:axId val="9822777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A26-41E8-8FE8-63813489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18528"/>
        <c:axId val="98227776"/>
      </c:lineChart>
      <c:catAx>
        <c:axId val="9821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7776"/>
        <c:crosses val="autoZero"/>
        <c:auto val="1"/>
        <c:lblAlgn val="ctr"/>
        <c:lblOffset val="100"/>
        <c:noMultiLvlLbl val="1"/>
      </c:catAx>
      <c:valAx>
        <c:axId val="982277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58-4B42-B327-4756792DF209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58-4B42-B327-4756792D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22880"/>
        <c:axId val="9822886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58-4B42-B327-4756792D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22880"/>
        <c:axId val="98228864"/>
      </c:lineChart>
      <c:catAx>
        <c:axId val="982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8864"/>
        <c:crosses val="autoZero"/>
        <c:auto val="1"/>
        <c:lblAlgn val="ctr"/>
        <c:lblOffset val="100"/>
        <c:noMultiLvlLbl val="1"/>
      </c:catAx>
      <c:valAx>
        <c:axId val="98228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E7-42A0-B1AF-460F9EEF3E79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E7-42A0-B1AF-460F9EEF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21792"/>
        <c:axId val="9822940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E7-42A0-B1AF-460F9EEF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21792"/>
        <c:axId val="98229408"/>
      </c:lineChart>
      <c:catAx>
        <c:axId val="98221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9408"/>
        <c:crosses val="autoZero"/>
        <c:auto val="1"/>
        <c:lblAlgn val="ctr"/>
        <c:lblOffset val="100"/>
        <c:noMultiLvlLbl val="1"/>
      </c:catAx>
      <c:valAx>
        <c:axId val="98229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CE3-435E-B49C-93C98223CF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CE3-435E-B49C-93C98223C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15808"/>
        <c:axId val="98227232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E3-435E-B49C-93C98223C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15808"/>
        <c:axId val="98227232"/>
      </c:lineChart>
      <c:catAx>
        <c:axId val="98215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7232"/>
        <c:crosses val="autoZero"/>
        <c:auto val="0"/>
        <c:lblAlgn val="ctr"/>
        <c:lblOffset val="100"/>
        <c:noMultiLvlLbl val="1"/>
      </c:catAx>
      <c:valAx>
        <c:axId val="9822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63-4A71-960F-484C3703EA01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63-4A71-960F-484C3703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16352"/>
        <c:axId val="982190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63-4A71-960F-484C3703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16352"/>
        <c:axId val="98219072"/>
      </c:lineChart>
      <c:catAx>
        <c:axId val="9821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72"/>
        <c:crosses val="autoZero"/>
        <c:auto val="1"/>
        <c:lblAlgn val="ctr"/>
        <c:lblOffset val="100"/>
        <c:noMultiLvlLbl val="1"/>
      </c:catAx>
      <c:valAx>
        <c:axId val="98219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6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A3-43BB-9FA2-7AAF29452F1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A3-43BB-9FA2-7AAF29452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216896"/>
        <c:axId val="982174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A3-43BB-9FA2-7AAF29452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216896"/>
        <c:axId val="98217440"/>
      </c:lineChart>
      <c:catAx>
        <c:axId val="98216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440"/>
        <c:crosses val="autoZero"/>
        <c:auto val="1"/>
        <c:lblAlgn val="ctr"/>
        <c:lblOffset val="100"/>
        <c:noMultiLvlLbl val="1"/>
      </c:catAx>
      <c:valAx>
        <c:axId val="9821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6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C5-4200-89F5-E0374F5E3BCD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C5-4200-89F5-E0374F5E3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103712"/>
        <c:axId val="36909772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C5-4200-89F5-E0374F5E3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3712"/>
        <c:axId val="369097728"/>
      </c:lineChart>
      <c:catAx>
        <c:axId val="36910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7728"/>
        <c:crosses val="autoZero"/>
        <c:auto val="1"/>
        <c:lblAlgn val="ctr"/>
        <c:lblOffset val="100"/>
        <c:noMultiLvlLbl val="1"/>
      </c:catAx>
      <c:valAx>
        <c:axId val="369097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3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63-4186-BCF6-075E091579CA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63-4186-BCF6-075E09157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105888"/>
        <c:axId val="3690993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63-4186-BCF6-075E09157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5888"/>
        <c:axId val="369099360"/>
      </c:lineChart>
      <c:catAx>
        <c:axId val="36910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9360"/>
        <c:crosses val="autoZero"/>
        <c:auto val="1"/>
        <c:lblAlgn val="ctr"/>
        <c:lblOffset val="100"/>
        <c:noMultiLvlLbl val="1"/>
      </c:catAx>
      <c:valAx>
        <c:axId val="36909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5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92-4BCA-AB60-F82D71BD5AF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9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B92-4BCA-AB60-F82D71BD5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91744"/>
        <c:axId val="36910153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3.3571428571428568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3.2272727272727275</c:v>
                </c:pt>
                <c:pt idx="11">
                  <c:v>3.125</c:v>
                </c:pt>
                <c:pt idx="12">
                  <c:v>2.9615384615384617</c:v>
                </c:pt>
                <c:pt idx="13">
                  <c:v>3.3214285714285712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B92-4BCA-AB60-F82D71BD5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91744"/>
        <c:axId val="369101536"/>
      </c:lineChart>
      <c:catAx>
        <c:axId val="36909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1536"/>
        <c:crosses val="autoZero"/>
        <c:auto val="0"/>
        <c:lblAlgn val="ctr"/>
        <c:lblOffset val="100"/>
        <c:noMultiLvlLbl val="1"/>
      </c:catAx>
      <c:valAx>
        <c:axId val="36910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44-452D-91B2-B1F11329DFC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44-452D-91B2-B1F11329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104256"/>
        <c:axId val="36910099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0.21428571428571427</c:v>
                </c:pt>
                <c:pt idx="7">
                  <c:v>0.1875</c:v>
                </c:pt>
                <c:pt idx="8">
                  <c:v>0.16666666666666666</c:v>
                </c:pt>
                <c:pt idx="9">
                  <c:v>0.15</c:v>
                </c:pt>
                <c:pt idx="10">
                  <c:v>0.31818181818181818</c:v>
                </c:pt>
                <c:pt idx="11">
                  <c:v>0.45833333333333331</c:v>
                </c:pt>
                <c:pt idx="12">
                  <c:v>0.42307692307692307</c:v>
                </c:pt>
                <c:pt idx="13">
                  <c:v>0.9642857142857143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144-452D-91B2-B1F11329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4256"/>
        <c:axId val="369100992"/>
      </c:lineChart>
      <c:catAx>
        <c:axId val="36910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0992"/>
        <c:crosses val="autoZero"/>
        <c:auto val="1"/>
        <c:lblAlgn val="ctr"/>
        <c:lblOffset val="100"/>
        <c:noMultiLvlLbl val="1"/>
      </c:catAx>
      <c:valAx>
        <c:axId val="369100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78-472C-9384-8DB68255212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78-472C-9384-8DB68255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92288"/>
        <c:axId val="3690928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78-472C-9384-8DB68255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92288"/>
        <c:axId val="369092832"/>
      </c:lineChart>
      <c:catAx>
        <c:axId val="36909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2832"/>
        <c:crosses val="autoZero"/>
        <c:auto val="1"/>
        <c:lblAlgn val="ctr"/>
        <c:lblOffset val="100"/>
        <c:noMultiLvlLbl val="1"/>
      </c:catAx>
      <c:valAx>
        <c:axId val="369092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2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1-4103-948F-7D91D386175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1-4103-948F-7D91D386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95008"/>
        <c:axId val="36909990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1.6666666666666667</c:v>
                </c:pt>
                <c:pt idx="6">
                  <c:v>1.7142857142857142</c:v>
                </c:pt>
                <c:pt idx="7">
                  <c:v>1.5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1.3076923076923077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B1-4103-948F-7D91D386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95008"/>
        <c:axId val="369099904"/>
      </c:lineChart>
      <c:catAx>
        <c:axId val="36909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9904"/>
        <c:crosses val="autoZero"/>
        <c:auto val="1"/>
        <c:lblAlgn val="ctr"/>
        <c:lblOffset val="100"/>
        <c:noMultiLvlLbl val="1"/>
      </c:catAx>
      <c:valAx>
        <c:axId val="369099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5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363-4CAA-805A-AECE82AD736E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363-4CAA-805A-AECE82AD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9098816"/>
        <c:axId val="36910044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363-4CAA-805A-AECE82AD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98816"/>
        <c:axId val="369100448"/>
      </c:lineChart>
      <c:catAx>
        <c:axId val="369098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0448"/>
        <c:crosses val="autoZero"/>
        <c:auto val="1"/>
        <c:lblAlgn val="ctr"/>
        <c:lblOffset val="100"/>
        <c:noMultiLvlLbl val="1"/>
      </c:catAx>
      <c:valAx>
        <c:axId val="36910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98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8C-4352-A107-4ED0D51F4B31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18C-4352-A107-4ED0D51F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0960"/>
        <c:axId val="9777987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2</c:v>
                </c:pt>
                <c:pt idx="5">
                  <c:v>1.6666666666666665</c:v>
                </c:pt>
                <c:pt idx="6">
                  <c:v>1.7142857142857142</c:v>
                </c:pt>
                <c:pt idx="7">
                  <c:v>2.375</c:v>
                </c:pt>
                <c:pt idx="8">
                  <c:v>2.7777777777777777</c:v>
                </c:pt>
                <c:pt idx="9">
                  <c:v>3.1</c:v>
                </c:pt>
                <c:pt idx="10">
                  <c:v>3</c:v>
                </c:pt>
                <c:pt idx="11">
                  <c:v>3.3333333333333335</c:v>
                </c:pt>
                <c:pt idx="12">
                  <c:v>3.1538461538461542</c:v>
                </c:pt>
                <c:pt idx="13">
                  <c:v>2.9285714285714288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18C-4352-A107-4ED0D51F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0960"/>
        <c:axId val="97779872"/>
      </c:lineChart>
      <c:catAx>
        <c:axId val="97780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9872"/>
        <c:crosses val="autoZero"/>
        <c:auto val="0"/>
        <c:lblAlgn val="ctr"/>
        <c:lblOffset val="100"/>
        <c:noMultiLvlLbl val="1"/>
      </c:catAx>
      <c:valAx>
        <c:axId val="977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17B-4279-9507-6B6A24E8227F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17B-4279-9507-6B6A24E82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8576"/>
        <c:axId val="977891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0.625</c:v>
                </c:pt>
                <c:pt idx="8">
                  <c:v>0.88888888888888884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B-4279-9507-6B6A24E82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8576"/>
        <c:axId val="97789120"/>
      </c:lineChart>
      <c:catAx>
        <c:axId val="9778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9120"/>
        <c:crosses val="autoZero"/>
        <c:auto val="1"/>
        <c:lblAlgn val="ctr"/>
        <c:lblOffset val="100"/>
        <c:noMultiLvlLbl val="1"/>
      </c:catAx>
      <c:valAx>
        <c:axId val="97789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8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639-4000-925D-1BF90211F734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639-4000-925D-1BF90211F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5312"/>
        <c:axId val="9779020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639-4000-925D-1BF90211F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5312"/>
        <c:axId val="97790208"/>
      </c:lineChart>
      <c:catAx>
        <c:axId val="97785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90208"/>
        <c:crosses val="autoZero"/>
        <c:auto val="1"/>
        <c:lblAlgn val="ctr"/>
        <c:lblOffset val="100"/>
        <c:noMultiLvlLbl val="1"/>
      </c:catAx>
      <c:valAx>
        <c:axId val="97790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5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5-4440-ABF3-290CA5BCD2F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9B5-4440-ABF3-290CA5BCD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92384"/>
        <c:axId val="977825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0.8</c:v>
                </c:pt>
                <c:pt idx="5">
                  <c:v>0.66666666666666663</c:v>
                </c:pt>
                <c:pt idx="6">
                  <c:v>0.5714285714285714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1.0909090909090908</c:v>
                </c:pt>
                <c:pt idx="11">
                  <c:v>1</c:v>
                </c:pt>
                <c:pt idx="12">
                  <c:v>1</c:v>
                </c:pt>
                <c:pt idx="13">
                  <c:v>0.9285714285714286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9B5-4440-ABF3-290CA5BCD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92384"/>
        <c:axId val="97782592"/>
      </c:lineChart>
      <c:catAx>
        <c:axId val="9779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2592"/>
        <c:crosses val="autoZero"/>
        <c:auto val="1"/>
        <c:lblAlgn val="ctr"/>
        <c:lblOffset val="100"/>
        <c:noMultiLvlLbl val="1"/>
      </c:catAx>
      <c:valAx>
        <c:axId val="97782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92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96-486A-AE70-82FFD0902E88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C96-486A-AE70-82FFD0902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3136"/>
        <c:axId val="977934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96-486A-AE70-82FFD0902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3136"/>
        <c:axId val="97793472"/>
      </c:lineChart>
      <c:catAx>
        <c:axId val="97783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93472"/>
        <c:crosses val="autoZero"/>
        <c:auto val="1"/>
        <c:lblAlgn val="ctr"/>
        <c:lblOffset val="100"/>
        <c:noMultiLvlLbl val="1"/>
      </c:catAx>
      <c:valAx>
        <c:axId val="97793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3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4F-4F90-B64E-3F835FAC811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64F-4F90-B64E-3F835FAC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5856"/>
        <c:axId val="97792928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3.3333333333333335</c:v>
                </c:pt>
                <c:pt idx="3">
                  <c:v>3</c:v>
                </c:pt>
                <c:pt idx="4">
                  <c:v>2.4</c:v>
                </c:pt>
                <c:pt idx="5">
                  <c:v>2</c:v>
                </c:pt>
                <c:pt idx="6">
                  <c:v>2.2857142857142856</c:v>
                </c:pt>
                <c:pt idx="7">
                  <c:v>2.5</c:v>
                </c:pt>
                <c:pt idx="8">
                  <c:v>3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2.4615384615384617</c:v>
                </c:pt>
                <c:pt idx="13">
                  <c:v>2.2857142857142856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64F-4F90-B64E-3F835FAC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5856"/>
        <c:axId val="97792928"/>
      </c:lineChart>
      <c:catAx>
        <c:axId val="97785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92928"/>
        <c:crosses val="autoZero"/>
        <c:auto val="0"/>
        <c:lblAlgn val="ctr"/>
        <c:lblOffset val="100"/>
        <c:noMultiLvlLbl val="1"/>
      </c:catAx>
      <c:valAx>
        <c:axId val="977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53-47DA-940E-405BA5E91FE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953-47DA-940E-405BA5E91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786944"/>
        <c:axId val="977836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53-47DA-940E-405BA5E91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86944"/>
        <c:axId val="97783680"/>
      </c:lineChart>
      <c:catAx>
        <c:axId val="9778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3680"/>
        <c:crosses val="autoZero"/>
        <c:auto val="1"/>
        <c:lblAlgn val="ctr"/>
        <c:lblOffset val="100"/>
        <c:noMultiLvlLbl val="1"/>
      </c:catAx>
      <c:valAx>
        <c:axId val="97783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8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04F-4323-A41C-9A22898702A0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04F-4323-A41C-9A228987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26528"/>
        <c:axId val="3710210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04F-4323-A41C-9A228987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26528"/>
        <c:axId val="371021088"/>
      </c:lineChart>
      <c:catAx>
        <c:axId val="37102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1088"/>
        <c:crosses val="autoZero"/>
        <c:auto val="1"/>
        <c:lblAlgn val="ctr"/>
        <c:lblOffset val="100"/>
        <c:noMultiLvlLbl val="1"/>
      </c:catAx>
      <c:valAx>
        <c:axId val="371021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6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4A-45F0-92E5-7D080FDB999B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44A-45F0-92E5-7D080FDB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31968"/>
        <c:axId val="37103251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44A-45F0-92E5-7D080FDB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31968"/>
        <c:axId val="371032512"/>
      </c:lineChart>
      <c:catAx>
        <c:axId val="37103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32512"/>
        <c:crosses val="autoZero"/>
        <c:auto val="1"/>
        <c:lblAlgn val="ctr"/>
        <c:lblOffset val="100"/>
        <c:noMultiLvlLbl val="1"/>
      </c:catAx>
      <c:valAx>
        <c:axId val="371032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31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FF-4F22-BA57-261207B12EDF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FF-4F22-BA57-261207B12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07488"/>
        <c:axId val="37101129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0FF-4F22-BA57-261207B12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07488"/>
        <c:axId val="371011296"/>
      </c:lineChart>
      <c:catAx>
        <c:axId val="37100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1296"/>
        <c:crosses val="autoZero"/>
        <c:auto val="1"/>
        <c:lblAlgn val="ctr"/>
        <c:lblOffset val="100"/>
        <c:noMultiLvlLbl val="1"/>
      </c:catAx>
      <c:valAx>
        <c:axId val="371011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07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5E-4CB0-A797-D05A5A5ADC3D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E5E-4CB0-A797-D05A5A5A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4016"/>
        <c:axId val="37102326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2.333333333333333</c:v>
                </c:pt>
                <c:pt idx="3">
                  <c:v>1.75</c:v>
                </c:pt>
                <c:pt idx="4">
                  <c:v>2.2000000000000002</c:v>
                </c:pt>
                <c:pt idx="5">
                  <c:v>2.666666666666667</c:v>
                </c:pt>
                <c:pt idx="6">
                  <c:v>2.5714285714285712</c:v>
                </c:pt>
                <c:pt idx="7">
                  <c:v>3.125</c:v>
                </c:pt>
                <c:pt idx="8">
                  <c:v>2.7777777777777777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2.3076923076923075</c:v>
                </c:pt>
                <c:pt idx="13">
                  <c:v>2.4285714285714284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5E-4CB0-A797-D05A5A5A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4016"/>
        <c:axId val="371023264"/>
      </c:lineChart>
      <c:catAx>
        <c:axId val="371014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3264"/>
        <c:crosses val="autoZero"/>
        <c:auto val="0"/>
        <c:lblAlgn val="ctr"/>
        <c:lblOffset val="100"/>
        <c:noMultiLvlLbl val="1"/>
      </c:catAx>
      <c:valAx>
        <c:axId val="3710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06-4BAB-AF77-FAD40487A0B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006-4BAB-AF77-FAD40487A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21632"/>
        <c:axId val="3710259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006-4BAB-AF77-FAD40487A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21632"/>
        <c:axId val="371025984"/>
      </c:lineChart>
      <c:catAx>
        <c:axId val="37102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5984"/>
        <c:crosses val="autoZero"/>
        <c:auto val="1"/>
        <c:lblAlgn val="ctr"/>
        <c:lblOffset val="100"/>
        <c:noMultiLvlLbl val="1"/>
      </c:catAx>
      <c:valAx>
        <c:axId val="371025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1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33-447B-9B59-123F5344CB91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533-447B-9B59-123F5344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06944"/>
        <c:axId val="37100966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533-447B-9B59-123F5344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06944"/>
        <c:axId val="371009664"/>
      </c:lineChart>
      <c:catAx>
        <c:axId val="37100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09664"/>
        <c:crosses val="autoZero"/>
        <c:auto val="1"/>
        <c:lblAlgn val="ctr"/>
        <c:lblOffset val="100"/>
        <c:noMultiLvlLbl val="1"/>
      </c:catAx>
      <c:valAx>
        <c:axId val="371009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0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3E-487C-BFAA-045437A2637A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F3E-487C-BFAA-045437A2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5648"/>
        <c:axId val="3710107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F3E-487C-BFAA-045437A2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5648"/>
        <c:axId val="371010752"/>
      </c:lineChart>
      <c:catAx>
        <c:axId val="37101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0752"/>
        <c:crosses val="autoZero"/>
        <c:auto val="1"/>
        <c:lblAlgn val="ctr"/>
        <c:lblOffset val="100"/>
        <c:noMultiLvlLbl val="1"/>
      </c:catAx>
      <c:valAx>
        <c:axId val="371010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5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63-4128-A8E1-0DA2418599DD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63-4128-A8E1-0DA24185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8912"/>
        <c:axId val="37102870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63-4128-A8E1-0DA24185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8912"/>
        <c:axId val="371028704"/>
      </c:lineChart>
      <c:catAx>
        <c:axId val="37101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8704"/>
        <c:crosses val="autoZero"/>
        <c:auto val="1"/>
        <c:lblAlgn val="ctr"/>
        <c:lblOffset val="100"/>
        <c:noMultiLvlLbl val="1"/>
      </c:catAx>
      <c:valAx>
        <c:axId val="371028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3F-47FE-8458-3804D56BED0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3F-47FE-8458-3804D56BE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22720"/>
        <c:axId val="371030336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0.8571428571428571</c:v>
                </c:pt>
                <c:pt idx="7">
                  <c:v>1.25</c:v>
                </c:pt>
                <c:pt idx="8">
                  <c:v>1.1111111111111112</c:v>
                </c:pt>
                <c:pt idx="9">
                  <c:v>1.5999999999999999</c:v>
                </c:pt>
                <c:pt idx="10">
                  <c:v>2.1818181818181817</c:v>
                </c:pt>
                <c:pt idx="11">
                  <c:v>2</c:v>
                </c:pt>
                <c:pt idx="12">
                  <c:v>1.8461538461538463</c:v>
                </c:pt>
                <c:pt idx="13">
                  <c:v>1.7142857142857144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3F-47FE-8458-3804D56BE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22720"/>
        <c:axId val="371030336"/>
      </c:lineChart>
      <c:catAx>
        <c:axId val="37102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30336"/>
        <c:crosses val="autoZero"/>
        <c:auto val="0"/>
        <c:lblAlgn val="ctr"/>
        <c:lblOffset val="100"/>
        <c:noMultiLvlLbl val="1"/>
      </c:catAx>
      <c:valAx>
        <c:axId val="3710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A7-4AC7-9FE7-7E887CE74A6E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A7-4AC7-9FE7-7E887CE7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6192"/>
        <c:axId val="37102054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0.7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0.69230769230769229</c:v>
                </c:pt>
                <c:pt idx="13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5A7-4AC7-9FE7-7E887CE7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6192"/>
        <c:axId val="371020544"/>
      </c:lineChart>
      <c:catAx>
        <c:axId val="37101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0544"/>
        <c:crosses val="autoZero"/>
        <c:auto val="1"/>
        <c:lblAlgn val="ctr"/>
        <c:lblOffset val="100"/>
        <c:noMultiLvlLbl val="1"/>
      </c:catAx>
      <c:valAx>
        <c:axId val="371020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6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49-4E7C-95A6-C9DC005A1648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49-4E7C-95A6-C9DC005A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27072"/>
        <c:axId val="3710276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49-4E7C-95A6-C9DC005A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27072"/>
        <c:axId val="371027616"/>
      </c:lineChart>
      <c:catAx>
        <c:axId val="37102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7616"/>
        <c:crosses val="autoZero"/>
        <c:auto val="1"/>
        <c:lblAlgn val="ctr"/>
        <c:lblOffset val="100"/>
        <c:noMultiLvlLbl val="1"/>
      </c:catAx>
      <c:valAx>
        <c:axId val="371027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7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3D-4325-83E9-0667E14EDAC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3D-4325-83E9-0667E14E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9456"/>
        <c:axId val="37102489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0.45454545454545453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0.35714285714285715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3D-4325-83E9-0667E14E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9456"/>
        <c:axId val="371024896"/>
      </c:lineChart>
      <c:catAx>
        <c:axId val="37101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4896"/>
        <c:crosses val="autoZero"/>
        <c:auto val="1"/>
        <c:lblAlgn val="ctr"/>
        <c:lblOffset val="100"/>
        <c:noMultiLvlLbl val="1"/>
      </c:catAx>
      <c:valAx>
        <c:axId val="371024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9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E8-4F26-A111-A1063757083E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5E8-4F26-A111-A10637570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29248"/>
        <c:axId val="37102979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5E8-4F26-A111-A10637570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29248"/>
        <c:axId val="371029792"/>
      </c:lineChart>
      <c:catAx>
        <c:axId val="37102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9792"/>
        <c:crosses val="autoZero"/>
        <c:auto val="1"/>
        <c:lblAlgn val="ctr"/>
        <c:lblOffset val="100"/>
        <c:noMultiLvlLbl val="1"/>
      </c:catAx>
      <c:valAx>
        <c:axId val="371029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9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59B-4827-B602-20A3FC471F0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0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59B-4827-B602-20A3FC47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35776"/>
        <c:axId val="371003680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2.375</c:v>
                </c:pt>
                <c:pt idx="4">
                  <c:v>2.4</c:v>
                </c:pt>
                <c:pt idx="5">
                  <c:v>2.5</c:v>
                </c:pt>
                <c:pt idx="6">
                  <c:v>2.1428571428571428</c:v>
                </c:pt>
                <c:pt idx="7">
                  <c:v>2.875</c:v>
                </c:pt>
                <c:pt idx="8">
                  <c:v>2.5555555555555554</c:v>
                </c:pt>
                <c:pt idx="9">
                  <c:v>2.2999999999999998</c:v>
                </c:pt>
                <c:pt idx="10">
                  <c:v>2.0909090909090908</c:v>
                </c:pt>
                <c:pt idx="11">
                  <c:v>1.916666666666667</c:v>
                </c:pt>
                <c:pt idx="12">
                  <c:v>1.9230769230769229</c:v>
                </c:pt>
                <c:pt idx="13">
                  <c:v>2.2142857142857144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59B-4827-B602-20A3FC47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35776"/>
        <c:axId val="371003680"/>
      </c:lineChart>
      <c:catAx>
        <c:axId val="37103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03680"/>
        <c:crosses val="autoZero"/>
        <c:auto val="0"/>
        <c:lblAlgn val="ctr"/>
        <c:lblOffset val="100"/>
        <c:noMultiLvlLbl val="1"/>
      </c:catAx>
      <c:valAx>
        <c:axId val="37100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3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83D-495B-9578-01A7273E3AF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83D-495B-9578-01A7273E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14560"/>
        <c:axId val="37100531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83D-495B-9578-01A7273E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14560"/>
        <c:axId val="371005312"/>
      </c:lineChart>
      <c:catAx>
        <c:axId val="37101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05312"/>
        <c:crosses val="autoZero"/>
        <c:auto val="1"/>
        <c:lblAlgn val="ctr"/>
        <c:lblOffset val="100"/>
        <c:noMultiLvlLbl val="1"/>
      </c:catAx>
      <c:valAx>
        <c:axId val="371005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14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C7-4221-8A69-817A6F6F30B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C7-4221-8A69-817A6F6F3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37136"/>
        <c:axId val="37283550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0.69230769230769229</c:v>
                </c:pt>
                <c:pt idx="13">
                  <c:v>0.8571428571428571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C7-4221-8A69-817A6F6F3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37136"/>
        <c:axId val="372835504"/>
      </c:lineChart>
      <c:catAx>
        <c:axId val="37283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35504"/>
        <c:crosses val="autoZero"/>
        <c:auto val="1"/>
        <c:lblAlgn val="ctr"/>
        <c:lblOffset val="100"/>
        <c:noMultiLvlLbl val="1"/>
      </c:catAx>
      <c:valAx>
        <c:axId val="372835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37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805-4CE6-8B31-7DA93145B27A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0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805-4CE6-8B31-7DA93145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50736"/>
        <c:axId val="37283822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1.875</c:v>
                </c:pt>
                <c:pt idx="4">
                  <c:v>2</c:v>
                </c:pt>
                <c:pt idx="5">
                  <c:v>1.6666666666666667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05-4CE6-8B31-7DA93145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50736"/>
        <c:axId val="372838224"/>
      </c:lineChart>
      <c:catAx>
        <c:axId val="37285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38224"/>
        <c:crosses val="autoZero"/>
        <c:auto val="1"/>
        <c:lblAlgn val="ctr"/>
        <c:lblOffset val="100"/>
        <c:noMultiLvlLbl val="1"/>
      </c:catAx>
      <c:valAx>
        <c:axId val="372838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50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FB-4636-9E16-A0ABDED610CA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FB-4636-9E16-A0ABDED61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55088"/>
        <c:axId val="37286596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FB-4636-9E16-A0ABDED61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55088"/>
        <c:axId val="372865968"/>
      </c:lineChart>
      <c:catAx>
        <c:axId val="372855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65968"/>
        <c:crosses val="autoZero"/>
        <c:auto val="1"/>
        <c:lblAlgn val="ctr"/>
        <c:lblOffset val="100"/>
        <c:noMultiLvlLbl val="1"/>
      </c:catAx>
      <c:valAx>
        <c:axId val="372865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855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D25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5" t="s">
        <v>24</v>
      </c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2" t="s">
        <v>22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 t="s">
        <v>23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4"/>
    </row>
    <row r="4" spans="1:25" ht="15.75" x14ac:dyDescent="0.25">
      <c r="C4" s="71" t="s">
        <v>12</v>
      </c>
      <c r="D4" s="71"/>
      <c r="E4" s="71"/>
      <c r="F4" s="71" t="s">
        <v>11</v>
      </c>
      <c r="G4" s="71"/>
      <c r="H4" s="71" t="s">
        <v>13</v>
      </c>
      <c r="I4" s="71"/>
      <c r="J4" s="71" t="s">
        <v>14</v>
      </c>
      <c r="K4" s="71"/>
      <c r="L4" s="77" t="s">
        <v>15</v>
      </c>
      <c r="M4" s="78"/>
      <c r="N4" s="78" t="s">
        <v>16</v>
      </c>
      <c r="O4" s="79"/>
      <c r="P4" s="71" t="s">
        <v>17</v>
      </c>
      <c r="Q4" s="71"/>
      <c r="R4" s="71" t="s">
        <v>18</v>
      </c>
      <c r="S4" s="71"/>
      <c r="T4" s="71" t="s">
        <v>19</v>
      </c>
      <c r="U4" s="71"/>
      <c r="V4" s="71" t="s">
        <v>20</v>
      </c>
      <c r="W4" s="71"/>
      <c r="X4" s="71" t="s">
        <v>21</v>
      </c>
      <c r="Y4" s="71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9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20</v>
      </c>
      <c r="R7" s="22">
        <f>SUM('Sprint 7'!C6:I6)</f>
        <v>6</v>
      </c>
      <c r="S7" s="22">
        <f>SUM('Sprint 7'!J6:P6)</f>
        <v>0</v>
      </c>
      <c r="T7" s="22">
        <f>SUM('Sprint 8'!C6:I6)</f>
        <v>1</v>
      </c>
      <c r="U7" s="22">
        <f>SUM('Sprint 8'!J6:P6)</f>
        <v>5</v>
      </c>
      <c r="V7" s="22">
        <f>SUM('Sprint 9'!C6:I6)</f>
        <v>3</v>
      </c>
      <c r="W7" s="22">
        <f>SUM('Sprint 9'!J6:P6)</f>
        <v>6</v>
      </c>
      <c r="X7" s="22">
        <f>SUM('Sprint 10'!C6:I6)</f>
        <v>0</v>
      </c>
      <c r="Y7" s="22">
        <f>SUM('Sprint 10'!J6:P6)</f>
        <v>0</v>
      </c>
    </row>
    <row r="8" spans="1:25" x14ac:dyDescent="0.25">
      <c r="A8" s="69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8</v>
      </c>
      <c r="Q8" s="22">
        <f>SUM('Sprint 6'!J7:P7)</f>
        <v>0</v>
      </c>
      <c r="R8" s="22">
        <f>SUM('Sprint 7'!C7:I7)</f>
        <v>3</v>
      </c>
      <c r="S8" s="22">
        <f>SUM('Sprint 7'!J7:P7)</f>
        <v>11</v>
      </c>
      <c r="T8" s="22">
        <f>SUM('Sprint 8'!C7:I7)</f>
        <v>10</v>
      </c>
      <c r="U8" s="22">
        <f>SUM('Sprint 8'!J7:P7)</f>
        <v>6</v>
      </c>
      <c r="V8" s="22">
        <f>SUM('Sprint 9'!C7:I7)</f>
        <v>3</v>
      </c>
      <c r="W8" s="22">
        <f>SUM('Sprint 9'!J7:P7)</f>
        <v>7</v>
      </c>
      <c r="X8" s="22">
        <f>SUM('Sprint 10'!C7:I7)</f>
        <v>0</v>
      </c>
      <c r="Y8" s="22">
        <f>SUM('Sprint 10'!J7:P7)</f>
        <v>7</v>
      </c>
    </row>
    <row r="9" spans="1:25" x14ac:dyDescent="0.25">
      <c r="A9" s="69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4</v>
      </c>
      <c r="Q9" s="22">
        <f>SUM('Sprint 6'!J8:P8)</f>
        <v>9</v>
      </c>
      <c r="R9" s="22">
        <f>SUM('Sprint 7'!C8:I8)</f>
        <v>7</v>
      </c>
      <c r="S9" s="22">
        <f>SUM('Sprint 7'!J8:P8)</f>
        <v>5</v>
      </c>
      <c r="T9" s="22">
        <f>SUM('Sprint 8'!C8:I8)</f>
        <v>7</v>
      </c>
      <c r="U9" s="22">
        <f>SUM('Sprint 8'!J8:P8)</f>
        <v>5</v>
      </c>
      <c r="V9" s="22">
        <f>SUM('Sprint 9'!C8:I8)</f>
        <v>0</v>
      </c>
      <c r="W9" s="22">
        <f>SUM('Sprint 9'!J8:P8)</f>
        <v>5</v>
      </c>
      <c r="X9" s="22">
        <f>SUM('Sprint 10'!C8:I8)</f>
        <v>10</v>
      </c>
      <c r="Y9" s="22">
        <f>SUM('Sprint 10'!J8:P8)</f>
        <v>0</v>
      </c>
    </row>
    <row r="10" spans="1:25" x14ac:dyDescent="0.25">
      <c r="A10" s="69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9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12</v>
      </c>
      <c r="Q11" s="65">
        <f t="shared" si="3"/>
        <v>29</v>
      </c>
      <c r="R11" s="65">
        <f t="shared" si="3"/>
        <v>16</v>
      </c>
      <c r="S11" s="65">
        <f t="shared" si="3"/>
        <v>16</v>
      </c>
      <c r="T11" s="65">
        <f t="shared" si="3"/>
        <v>18</v>
      </c>
      <c r="U11" s="65">
        <f t="shared" si="3"/>
        <v>16</v>
      </c>
      <c r="V11" s="65">
        <f t="shared" si="3"/>
        <v>6</v>
      </c>
      <c r="W11" s="65">
        <f t="shared" si="3"/>
        <v>18</v>
      </c>
      <c r="X11" s="65">
        <f t="shared" si="3"/>
        <v>10</v>
      </c>
      <c r="Y11" s="65">
        <f t="shared" si="3"/>
        <v>7</v>
      </c>
    </row>
    <row r="12" spans="1:25" x14ac:dyDescent="0.25">
      <c r="A12" s="6"/>
      <c r="M12" s="48"/>
      <c r="N12" s="49"/>
    </row>
    <row r="13" spans="1:25" x14ac:dyDescent="0.25">
      <c r="A13" s="69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2</v>
      </c>
      <c r="Y13" s="22">
        <f>SUM('Sprint 10'!J18:P18)</f>
        <v>7</v>
      </c>
    </row>
    <row r="14" spans="1:25" x14ac:dyDescent="0.25">
      <c r="A14" s="69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3</v>
      </c>
      <c r="Y14" s="22">
        <f>SUM('Sprint 10'!J19:P19)</f>
        <v>2</v>
      </c>
    </row>
    <row r="15" spans="1:25" x14ac:dyDescent="0.25">
      <c r="A15" s="69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9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9"/>
      <c r="B17" s="9" t="s">
        <v>30</v>
      </c>
      <c r="C17" s="21">
        <f t="shared" ref="C17:M17" si="4" xml:space="preserve"> SUM(C13:C16)</f>
        <v>2.91</v>
      </c>
      <c r="D17" s="21">
        <f t="shared" si="4"/>
        <v>13.75</v>
      </c>
      <c r="E17" s="21">
        <f t="shared" si="4"/>
        <v>12.4</v>
      </c>
      <c r="F17" s="21">
        <f t="shared" si="4"/>
        <v>6.25</v>
      </c>
      <c r="G17" s="21">
        <f t="shared" si="4"/>
        <v>3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2</v>
      </c>
      <c r="M17" s="21">
        <f t="shared" si="4"/>
        <v>0.5</v>
      </c>
      <c r="N17" s="47">
        <f t="shared" ref="N17:Y17" si="5">SUM(N13:N16)</f>
        <v>0</v>
      </c>
      <c r="O17" s="65">
        <f t="shared" si="5"/>
        <v>0</v>
      </c>
      <c r="P17" s="65">
        <f t="shared" si="5"/>
        <v>0</v>
      </c>
      <c r="Q17" s="65">
        <f t="shared" si="5"/>
        <v>0</v>
      </c>
      <c r="R17" s="65">
        <f t="shared" si="5"/>
        <v>0</v>
      </c>
      <c r="S17" s="65">
        <f t="shared" si="5"/>
        <v>0</v>
      </c>
      <c r="T17" s="65">
        <f t="shared" si="5"/>
        <v>0</v>
      </c>
      <c r="U17" s="65">
        <f t="shared" si="5"/>
        <v>0</v>
      </c>
      <c r="V17" s="65">
        <f t="shared" si="5"/>
        <v>0</v>
      </c>
      <c r="W17" s="65">
        <f t="shared" si="5"/>
        <v>0</v>
      </c>
      <c r="X17" s="65">
        <f t="shared" si="5"/>
        <v>5</v>
      </c>
      <c r="Y17" s="65">
        <f t="shared" si="5"/>
        <v>9</v>
      </c>
    </row>
    <row r="18" spans="1:25" x14ac:dyDescent="0.25">
      <c r="M18" s="48"/>
      <c r="N18" s="49"/>
    </row>
    <row r="19" spans="1:25" x14ac:dyDescent="0.25">
      <c r="A19" s="70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6" xml:space="preserve"> D19 + E7 + E13</f>
        <v>11.5</v>
      </c>
      <c r="F19" s="25">
        <f t="shared" si="6"/>
        <v>12.5</v>
      </c>
      <c r="G19" s="25">
        <f t="shared" si="6"/>
        <v>18.5</v>
      </c>
      <c r="H19" s="25">
        <f t="shared" si="6"/>
        <v>23.5</v>
      </c>
      <c r="I19" s="25">
        <f t="shared" si="6"/>
        <v>34</v>
      </c>
      <c r="J19" s="25">
        <f t="shared" si="6"/>
        <v>45</v>
      </c>
      <c r="K19" s="25">
        <f t="shared" si="6"/>
        <v>54</v>
      </c>
      <c r="L19" s="25">
        <f t="shared" si="6"/>
        <v>60</v>
      </c>
      <c r="M19" s="25">
        <f t="shared" si="6"/>
        <v>69</v>
      </c>
      <c r="N19" s="45">
        <f t="shared" ref="N19:O22" si="7" xml:space="preserve"> M19 + N7 + N13</f>
        <v>70.5</v>
      </c>
      <c r="O19" s="25">
        <f t="shared" si="7"/>
        <v>82.5</v>
      </c>
      <c r="P19" s="25">
        <f t="shared" ref="P19:Y19" si="8" xml:space="preserve"> O19 + P7 + P13</f>
        <v>82.5</v>
      </c>
      <c r="Q19" s="25">
        <f t="shared" si="8"/>
        <v>102.5</v>
      </c>
      <c r="R19" s="25">
        <f t="shared" si="8"/>
        <v>108.5</v>
      </c>
      <c r="S19" s="25">
        <f t="shared" si="8"/>
        <v>108.5</v>
      </c>
      <c r="T19" s="25">
        <f t="shared" si="8"/>
        <v>109.5</v>
      </c>
      <c r="U19" s="25">
        <f t="shared" si="8"/>
        <v>114.5</v>
      </c>
      <c r="V19" s="25">
        <f t="shared" si="8"/>
        <v>117.5</v>
      </c>
      <c r="W19" s="25">
        <f t="shared" si="8"/>
        <v>123.5</v>
      </c>
      <c r="X19" s="25">
        <f t="shared" si="8"/>
        <v>125.5</v>
      </c>
      <c r="Y19" s="25">
        <f t="shared" si="8"/>
        <v>132.5</v>
      </c>
    </row>
    <row r="20" spans="1:25" x14ac:dyDescent="0.25">
      <c r="A20" s="70"/>
      <c r="B20" s="8" t="str">
        <f xml:space="preserve"> CONCATENATE(Setup!$B$8, ", ", LEFT(Setup!$C$8,2))</f>
        <v>Spencer, SS</v>
      </c>
      <c r="C20" s="25">
        <f xml:space="preserve"> C8 + C14</f>
        <v>2.66</v>
      </c>
      <c r="D20" s="25">
        <f xml:space="preserve"> C20 + D8 + D14</f>
        <v>11.66</v>
      </c>
      <c r="E20" s="25">
        <f t="shared" ref="E20:M20" si="9" xml:space="preserve"> D20 + E8 + E14</f>
        <v>17.060000000000002</v>
      </c>
      <c r="F20" s="25">
        <f t="shared" si="9"/>
        <v>23.310000000000002</v>
      </c>
      <c r="G20" s="25">
        <f t="shared" si="9"/>
        <v>26.310000000000002</v>
      </c>
      <c r="H20" s="25">
        <f t="shared" si="9"/>
        <v>28.310000000000002</v>
      </c>
      <c r="I20" s="25">
        <f t="shared" si="9"/>
        <v>40.313000000000002</v>
      </c>
      <c r="J20" s="25">
        <f t="shared" si="9"/>
        <v>51.313000000000002</v>
      </c>
      <c r="K20" s="25">
        <f t="shared" si="9"/>
        <v>59.313000000000002</v>
      </c>
      <c r="L20" s="25">
        <f t="shared" si="9"/>
        <v>61.313000000000002</v>
      </c>
      <c r="M20" s="25">
        <f t="shared" si="9"/>
        <v>67.313000000000002</v>
      </c>
      <c r="N20" s="45">
        <f t="shared" si="7"/>
        <v>77.313000000000002</v>
      </c>
      <c r="O20" s="25">
        <f t="shared" si="7"/>
        <v>83.313000000000002</v>
      </c>
      <c r="P20" s="25">
        <f t="shared" ref="P20:Y20" si="10" xml:space="preserve"> O20 + P8 + P14</f>
        <v>91.313000000000002</v>
      </c>
      <c r="Q20" s="25">
        <f t="shared" si="10"/>
        <v>91.313000000000002</v>
      </c>
      <c r="R20" s="25">
        <f t="shared" si="10"/>
        <v>94.313000000000002</v>
      </c>
      <c r="S20" s="25">
        <f t="shared" si="10"/>
        <v>105.313</v>
      </c>
      <c r="T20" s="25">
        <f t="shared" si="10"/>
        <v>115.313</v>
      </c>
      <c r="U20" s="25">
        <f t="shared" si="10"/>
        <v>121.313</v>
      </c>
      <c r="V20" s="25">
        <f t="shared" si="10"/>
        <v>124.313</v>
      </c>
      <c r="W20" s="25">
        <f t="shared" si="10"/>
        <v>131.31299999999999</v>
      </c>
      <c r="X20" s="25">
        <f t="shared" si="10"/>
        <v>134.31299999999999</v>
      </c>
      <c r="Y20" s="25">
        <f t="shared" si="10"/>
        <v>143.31299999999999</v>
      </c>
    </row>
    <row r="21" spans="1:25" x14ac:dyDescent="0.25">
      <c r="A21" s="70"/>
      <c r="B21" s="8" t="str">
        <f xml:space="preserve"> CONCATENATE(Setup!$B$9, ", ", LEFT(Setup!$C$9,2))</f>
        <v>Dylan, DW</v>
      </c>
      <c r="C21" s="25">
        <f xml:space="preserve"> C9 + C15</f>
        <v>1.25</v>
      </c>
      <c r="D21" s="25">
        <f xml:space="preserve"> C21 + D9 + D15</f>
        <v>4.25</v>
      </c>
      <c r="E21" s="25">
        <f t="shared" ref="E21:M21" si="11" xml:space="preserve"> D21 + E9 + E15</f>
        <v>13.25</v>
      </c>
      <c r="F21" s="25">
        <f t="shared" si="11"/>
        <v>16.75</v>
      </c>
      <c r="G21" s="25">
        <f t="shared" si="11"/>
        <v>18.25</v>
      </c>
      <c r="H21" s="25">
        <f t="shared" si="11"/>
        <v>23.317</v>
      </c>
      <c r="I21" s="25">
        <f t="shared" si="11"/>
        <v>28.817</v>
      </c>
      <c r="J21" s="25">
        <f t="shared" si="11"/>
        <v>34.817</v>
      </c>
      <c r="K21" s="25">
        <f t="shared" si="11"/>
        <v>39.817</v>
      </c>
      <c r="L21" s="25">
        <f t="shared" si="11"/>
        <v>41.817</v>
      </c>
      <c r="M21" s="25">
        <f t="shared" si="11"/>
        <v>42.317</v>
      </c>
      <c r="N21" s="45">
        <f t="shared" si="7"/>
        <v>54.317</v>
      </c>
      <c r="O21" s="25">
        <f t="shared" si="7"/>
        <v>59.317</v>
      </c>
      <c r="P21" s="25">
        <f t="shared" ref="P21:Y21" si="12" xml:space="preserve"> O21 + P9 + P15</f>
        <v>63.317</v>
      </c>
      <c r="Q21" s="25">
        <f t="shared" si="12"/>
        <v>72.317000000000007</v>
      </c>
      <c r="R21" s="25">
        <f t="shared" si="12"/>
        <v>79.317000000000007</v>
      </c>
      <c r="S21" s="25">
        <f t="shared" si="12"/>
        <v>84.317000000000007</v>
      </c>
      <c r="T21" s="25">
        <f t="shared" si="12"/>
        <v>91.317000000000007</v>
      </c>
      <c r="U21" s="25">
        <f t="shared" si="12"/>
        <v>96.317000000000007</v>
      </c>
      <c r="V21" s="25">
        <f t="shared" si="12"/>
        <v>96.317000000000007</v>
      </c>
      <c r="W21" s="25">
        <f t="shared" si="12"/>
        <v>101.31700000000001</v>
      </c>
      <c r="X21" s="25">
        <f t="shared" si="12"/>
        <v>111.31700000000001</v>
      </c>
      <c r="Y21" s="25">
        <f t="shared" si="12"/>
        <v>111.31700000000001</v>
      </c>
    </row>
    <row r="22" spans="1:25" x14ac:dyDescent="0.25">
      <c r="A22" s="70"/>
      <c r="B22" s="8" t="e">
        <f xml:space="preserve"> CONCATENATE(Setup!#REF!, ", ", LEFT(Setup!#REF!,2))</f>
        <v>#REF!</v>
      </c>
      <c r="C22" s="25">
        <f xml:space="preserve"> C10 + C16</f>
        <v>0</v>
      </c>
      <c r="D22" s="25">
        <f xml:space="preserve"> C22 + D10 + D16</f>
        <v>0</v>
      </c>
      <c r="E22" s="25">
        <f t="shared" ref="E22:M22" si="13" xml:space="preserve"> D22 + E10 + E16</f>
        <v>0</v>
      </c>
      <c r="F22" s="25">
        <f t="shared" si="13"/>
        <v>0</v>
      </c>
      <c r="G22" s="25">
        <f t="shared" si="13"/>
        <v>0</v>
      </c>
      <c r="H22" s="25">
        <f t="shared" si="13"/>
        <v>0</v>
      </c>
      <c r="I22" s="25">
        <f t="shared" si="13"/>
        <v>0</v>
      </c>
      <c r="J22" s="25">
        <f t="shared" si="13"/>
        <v>0</v>
      </c>
      <c r="K22" s="25">
        <f t="shared" si="13"/>
        <v>0</v>
      </c>
      <c r="L22" s="25">
        <f t="shared" si="13"/>
        <v>0</v>
      </c>
      <c r="M22" s="25">
        <f t="shared" si="13"/>
        <v>0</v>
      </c>
      <c r="N22" s="45">
        <f t="shared" si="7"/>
        <v>0</v>
      </c>
      <c r="O22" s="25">
        <f t="shared" si="7"/>
        <v>0</v>
      </c>
      <c r="P22" s="25">
        <f t="shared" ref="P22:Y22" si="14" xml:space="preserve"> O22 + P10 + P16</f>
        <v>0</v>
      </c>
      <c r="Q22" s="25">
        <f t="shared" si="14"/>
        <v>0</v>
      </c>
      <c r="R22" s="25">
        <f t="shared" si="14"/>
        <v>0</v>
      </c>
      <c r="S22" s="25">
        <f t="shared" si="14"/>
        <v>0</v>
      </c>
      <c r="T22" s="25">
        <f t="shared" si="14"/>
        <v>0</v>
      </c>
      <c r="U22" s="25">
        <f t="shared" si="14"/>
        <v>0</v>
      </c>
      <c r="V22" s="25">
        <f t="shared" si="14"/>
        <v>0</v>
      </c>
      <c r="W22" s="25">
        <f t="shared" si="14"/>
        <v>0</v>
      </c>
      <c r="X22" s="25">
        <f t="shared" si="14"/>
        <v>0</v>
      </c>
      <c r="Y22" s="25">
        <f t="shared" si="14"/>
        <v>0</v>
      </c>
    </row>
    <row r="23" spans="1:25" ht="15.75" x14ac:dyDescent="0.25">
      <c r="A23" s="70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15" xml:space="preserve"> D23 + E11 + E17</f>
        <v>41.81</v>
      </c>
      <c r="F23" s="21">
        <f t="shared" si="15"/>
        <v>52.56</v>
      </c>
      <c r="G23" s="21">
        <f t="shared" si="15"/>
        <v>63.06</v>
      </c>
      <c r="H23" s="21">
        <f t="shared" si="15"/>
        <v>75.12700000000001</v>
      </c>
      <c r="I23" s="21">
        <f t="shared" si="15"/>
        <v>103.13000000000001</v>
      </c>
      <c r="J23" s="21">
        <f t="shared" si="15"/>
        <v>131.13</v>
      </c>
      <c r="K23" s="21">
        <f t="shared" si="15"/>
        <v>153.13</v>
      </c>
      <c r="L23" s="21">
        <f t="shared" si="15"/>
        <v>163.13</v>
      </c>
      <c r="M23" s="46">
        <f t="shared" si="15"/>
        <v>178.63</v>
      </c>
      <c r="N23" s="47">
        <f t="shared" si="15"/>
        <v>202.13</v>
      </c>
      <c r="O23" s="21">
        <f t="shared" si="15"/>
        <v>225.13</v>
      </c>
      <c r="P23" s="21">
        <f t="shared" si="15"/>
        <v>237.13</v>
      </c>
      <c r="Q23" s="21">
        <f t="shared" si="15"/>
        <v>266.13</v>
      </c>
      <c r="R23" s="21">
        <f t="shared" si="15"/>
        <v>282.13</v>
      </c>
      <c r="S23" s="21">
        <f t="shared" si="15"/>
        <v>298.13</v>
      </c>
      <c r="T23" s="21">
        <f t="shared" si="15"/>
        <v>316.13</v>
      </c>
      <c r="U23" s="21">
        <f t="shared" si="15"/>
        <v>332.13</v>
      </c>
      <c r="V23" s="21">
        <f t="shared" si="15"/>
        <v>338.13</v>
      </c>
      <c r="W23" s="21">
        <f t="shared" si="15"/>
        <v>356.13</v>
      </c>
      <c r="X23" s="21">
        <f t="shared" si="15"/>
        <v>371.13</v>
      </c>
      <c r="Y23" s="21">
        <f t="shared" si="15"/>
        <v>387.13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0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xml:space="preserve"> D19 / D$6</f>
        <v>3.5</v>
      </c>
      <c r="E25" s="29">
        <f xml:space="preserve"> E19 / E$6</f>
        <v>3.8333333333333335</v>
      </c>
      <c r="F25" s="29">
        <f t="shared" ref="F25:Y25" si="16" xml:space="preserve"> F19 / F$6</f>
        <v>3.125</v>
      </c>
      <c r="G25" s="29">
        <f t="shared" si="16"/>
        <v>3.7</v>
      </c>
      <c r="H25" s="29">
        <f t="shared" si="16"/>
        <v>3.9166666666666665</v>
      </c>
      <c r="I25" s="29">
        <f t="shared" si="16"/>
        <v>4.8571428571428568</v>
      </c>
      <c r="J25" s="29">
        <f t="shared" si="16"/>
        <v>5.625</v>
      </c>
      <c r="K25" s="29">
        <f t="shared" si="16"/>
        <v>6</v>
      </c>
      <c r="L25" s="29">
        <f t="shared" si="16"/>
        <v>6</v>
      </c>
      <c r="M25" s="50">
        <f t="shared" si="16"/>
        <v>6.2727272727272725</v>
      </c>
      <c r="N25" s="51">
        <f t="shared" si="16"/>
        <v>5.875</v>
      </c>
      <c r="O25" s="29">
        <f t="shared" si="16"/>
        <v>6.3461538461538458</v>
      </c>
      <c r="P25" s="29">
        <f t="shared" si="16"/>
        <v>5.8928571428571432</v>
      </c>
      <c r="Q25" s="29">
        <f t="shared" si="16"/>
        <v>6.833333333333333</v>
      </c>
      <c r="R25" s="29">
        <f t="shared" si="16"/>
        <v>6.78125</v>
      </c>
      <c r="S25" s="29">
        <f t="shared" si="16"/>
        <v>6.382352941176471</v>
      </c>
      <c r="T25" s="29">
        <f t="shared" si="16"/>
        <v>6.083333333333333</v>
      </c>
      <c r="U25" s="29">
        <f t="shared" si="16"/>
        <v>6.0263157894736841</v>
      </c>
      <c r="V25" s="29">
        <f t="shared" si="16"/>
        <v>5.875</v>
      </c>
      <c r="W25" s="29">
        <f t="shared" si="16"/>
        <v>5.8809523809523814</v>
      </c>
      <c r="X25" s="29">
        <f t="shared" si="16"/>
        <v>5.7045454545454541</v>
      </c>
      <c r="Y25" s="29">
        <f t="shared" si="16"/>
        <v>5.7608695652173916</v>
      </c>
    </row>
    <row r="26" spans="1:25" x14ac:dyDescent="0.25">
      <c r="A26" s="70"/>
      <c r="B26" s="8" t="str">
        <f xml:space="preserve"> CONCATENATE(Setup!$B$8, ", ", LEFT(Setup!$C$8,2))</f>
        <v>Spencer, SS</v>
      </c>
      <c r="C26" s="29">
        <f t="shared" ref="C26:E29" si="17" xml:space="preserve"> C20 / C$6</f>
        <v>2.66</v>
      </c>
      <c r="D26" s="29">
        <f t="shared" si="17"/>
        <v>5.83</v>
      </c>
      <c r="E26" s="29">
        <f t="shared" si="17"/>
        <v>5.6866666666666674</v>
      </c>
      <c r="F26" s="29">
        <f t="shared" ref="F26:Y26" si="18" xml:space="preserve"> F20 / F$6</f>
        <v>5.8275000000000006</v>
      </c>
      <c r="G26" s="29">
        <f t="shared" si="18"/>
        <v>5.2620000000000005</v>
      </c>
      <c r="H26" s="29">
        <f t="shared" si="18"/>
        <v>4.7183333333333337</v>
      </c>
      <c r="I26" s="29">
        <f t="shared" si="18"/>
        <v>5.7590000000000003</v>
      </c>
      <c r="J26" s="29">
        <f t="shared" si="18"/>
        <v>6.4141250000000003</v>
      </c>
      <c r="K26" s="29">
        <f t="shared" si="18"/>
        <v>6.5903333333333336</v>
      </c>
      <c r="L26" s="29">
        <f t="shared" si="18"/>
        <v>6.1313000000000004</v>
      </c>
      <c r="M26" s="50">
        <f t="shared" si="18"/>
        <v>6.1193636363636363</v>
      </c>
      <c r="N26" s="51">
        <f t="shared" si="18"/>
        <v>6.4427500000000002</v>
      </c>
      <c r="O26" s="29">
        <f t="shared" si="18"/>
        <v>6.4086923076923075</v>
      </c>
      <c r="P26" s="29">
        <f t="shared" si="18"/>
        <v>6.5223571428571434</v>
      </c>
      <c r="Q26" s="29">
        <f t="shared" si="18"/>
        <v>6.0875333333333339</v>
      </c>
      <c r="R26" s="29">
        <f t="shared" si="18"/>
        <v>5.8945625000000001</v>
      </c>
      <c r="S26" s="29">
        <f t="shared" si="18"/>
        <v>6.1948823529411765</v>
      </c>
      <c r="T26" s="29">
        <f t="shared" si="18"/>
        <v>6.4062777777777775</v>
      </c>
      <c r="U26" s="29">
        <f t="shared" si="18"/>
        <v>6.3848947368421056</v>
      </c>
      <c r="V26" s="29">
        <f t="shared" si="18"/>
        <v>6.2156500000000001</v>
      </c>
      <c r="W26" s="29">
        <f t="shared" si="18"/>
        <v>6.2529999999999992</v>
      </c>
      <c r="X26" s="29">
        <f t="shared" si="18"/>
        <v>6.1051363636363627</v>
      </c>
      <c r="Y26" s="29">
        <f t="shared" si="18"/>
        <v>6.2309999999999999</v>
      </c>
    </row>
    <row r="27" spans="1:25" x14ac:dyDescent="0.25">
      <c r="A27" s="70"/>
      <c r="B27" s="8" t="str">
        <f xml:space="preserve"> CONCATENATE(Setup!$B$9, ", ", LEFT(Setup!$C$9,2))</f>
        <v>Dylan, DW</v>
      </c>
      <c r="C27" s="29">
        <f t="shared" si="17"/>
        <v>1.25</v>
      </c>
      <c r="D27" s="29">
        <f t="shared" si="17"/>
        <v>2.125</v>
      </c>
      <c r="E27" s="29">
        <f t="shared" si="17"/>
        <v>4.416666666666667</v>
      </c>
      <c r="F27" s="29">
        <f t="shared" ref="F27:Y27" si="19" xml:space="preserve"> F21 / F$6</f>
        <v>4.1875</v>
      </c>
      <c r="G27" s="29">
        <f t="shared" si="19"/>
        <v>3.65</v>
      </c>
      <c r="H27" s="29">
        <f t="shared" si="19"/>
        <v>3.8861666666666665</v>
      </c>
      <c r="I27" s="29">
        <f t="shared" si="19"/>
        <v>4.116714285714286</v>
      </c>
      <c r="J27" s="29">
        <f t="shared" si="19"/>
        <v>4.352125</v>
      </c>
      <c r="K27" s="29">
        <f t="shared" si="19"/>
        <v>4.4241111111111113</v>
      </c>
      <c r="L27" s="29">
        <f t="shared" si="19"/>
        <v>4.1817000000000002</v>
      </c>
      <c r="M27" s="50">
        <f t="shared" si="19"/>
        <v>3.847</v>
      </c>
      <c r="N27" s="51">
        <f t="shared" si="19"/>
        <v>4.526416666666667</v>
      </c>
      <c r="O27" s="29">
        <f t="shared" si="19"/>
        <v>4.562846153846154</v>
      </c>
      <c r="P27" s="29">
        <f t="shared" si="19"/>
        <v>4.5226428571428574</v>
      </c>
      <c r="Q27" s="29">
        <f t="shared" si="19"/>
        <v>4.8211333333333339</v>
      </c>
      <c r="R27" s="29">
        <f t="shared" si="19"/>
        <v>4.9573125000000005</v>
      </c>
      <c r="S27" s="29">
        <f t="shared" si="19"/>
        <v>4.9598235294117652</v>
      </c>
      <c r="T27" s="29">
        <f t="shared" si="19"/>
        <v>5.0731666666666673</v>
      </c>
      <c r="U27" s="29">
        <f t="shared" si="19"/>
        <v>5.0693157894736842</v>
      </c>
      <c r="V27" s="29">
        <f t="shared" si="19"/>
        <v>4.8158500000000002</v>
      </c>
      <c r="W27" s="29">
        <f t="shared" si="19"/>
        <v>4.8246190476190476</v>
      </c>
      <c r="X27" s="29">
        <f t="shared" si="19"/>
        <v>5.0598636363636365</v>
      </c>
      <c r="Y27" s="29">
        <f t="shared" si="19"/>
        <v>4.8398695652173913</v>
      </c>
    </row>
    <row r="28" spans="1:25" x14ac:dyDescent="0.25">
      <c r="A28" s="70"/>
      <c r="B28" s="8" t="e">
        <f xml:space="preserve"> CONCATENATE(Setup!#REF!, ", ", LEFT(Setup!#REF!,2))</f>
        <v>#REF!</v>
      </c>
      <c r="C28" s="29">
        <f t="shared" si="17"/>
        <v>0</v>
      </c>
      <c r="D28" s="29">
        <f t="shared" si="17"/>
        <v>0</v>
      </c>
      <c r="E28" s="29">
        <f t="shared" si="17"/>
        <v>0</v>
      </c>
      <c r="F28" s="29">
        <f t="shared" ref="F28:Y28" si="20" xml:space="preserve"> F22 / F$6</f>
        <v>0</v>
      </c>
      <c r="G28" s="29">
        <f t="shared" si="20"/>
        <v>0</v>
      </c>
      <c r="H28" s="29">
        <f t="shared" si="20"/>
        <v>0</v>
      </c>
      <c r="I28" s="29">
        <f t="shared" si="20"/>
        <v>0</v>
      </c>
      <c r="J28" s="29">
        <f t="shared" si="20"/>
        <v>0</v>
      </c>
      <c r="K28" s="29">
        <f t="shared" si="20"/>
        <v>0</v>
      </c>
      <c r="L28" s="29">
        <f t="shared" si="20"/>
        <v>0</v>
      </c>
      <c r="M28" s="50">
        <f t="shared" si="20"/>
        <v>0</v>
      </c>
      <c r="N28" s="51">
        <f t="shared" si="20"/>
        <v>0</v>
      </c>
      <c r="O28" s="29">
        <f t="shared" si="20"/>
        <v>0</v>
      </c>
      <c r="P28" s="29">
        <f t="shared" si="20"/>
        <v>0</v>
      </c>
      <c r="Q28" s="29">
        <f t="shared" si="20"/>
        <v>0</v>
      </c>
      <c r="R28" s="29">
        <f t="shared" si="20"/>
        <v>0</v>
      </c>
      <c r="S28" s="29">
        <f t="shared" si="20"/>
        <v>0</v>
      </c>
      <c r="T28" s="29">
        <f t="shared" si="20"/>
        <v>0</v>
      </c>
      <c r="U28" s="29">
        <f t="shared" si="20"/>
        <v>0</v>
      </c>
      <c r="V28" s="29">
        <f t="shared" si="20"/>
        <v>0</v>
      </c>
      <c r="W28" s="29">
        <f t="shared" si="20"/>
        <v>0</v>
      </c>
      <c r="X28" s="29">
        <f t="shared" si="20"/>
        <v>0</v>
      </c>
      <c r="Y28" s="29">
        <f t="shared" si="20"/>
        <v>0</v>
      </c>
    </row>
    <row r="29" spans="1:25" ht="15.75" x14ac:dyDescent="0.25">
      <c r="A29" s="70"/>
      <c r="B29" s="9" t="s">
        <v>30</v>
      </c>
      <c r="C29" s="30">
        <f t="shared" si="17"/>
        <v>5.91</v>
      </c>
      <c r="D29" s="30">
        <f t="shared" si="17"/>
        <v>11.455</v>
      </c>
      <c r="E29" s="30">
        <f t="shared" si="17"/>
        <v>13.936666666666667</v>
      </c>
      <c r="F29" s="30">
        <f t="shared" ref="F29:Y29" si="21" xml:space="preserve"> F23 / F$6</f>
        <v>13.14</v>
      </c>
      <c r="G29" s="30">
        <f t="shared" si="21"/>
        <v>12.612</v>
      </c>
      <c r="H29" s="30">
        <f t="shared" si="21"/>
        <v>12.521166666666668</v>
      </c>
      <c r="I29" s="30">
        <f t="shared" si="21"/>
        <v>14.732857142857144</v>
      </c>
      <c r="J29" s="30">
        <f t="shared" si="21"/>
        <v>16.391249999999999</v>
      </c>
      <c r="K29" s="30">
        <f t="shared" si="21"/>
        <v>17.014444444444443</v>
      </c>
      <c r="L29" s="30">
        <f t="shared" si="21"/>
        <v>16.312999999999999</v>
      </c>
      <c r="M29" s="52">
        <f t="shared" si="21"/>
        <v>16.239090909090908</v>
      </c>
      <c r="N29" s="53">
        <f t="shared" si="21"/>
        <v>16.844166666666666</v>
      </c>
      <c r="O29" s="30">
        <f t="shared" si="21"/>
        <v>17.317692307692308</v>
      </c>
      <c r="P29" s="30">
        <f t="shared" si="21"/>
        <v>16.937857142857144</v>
      </c>
      <c r="Q29" s="30">
        <f t="shared" si="21"/>
        <v>17.742000000000001</v>
      </c>
      <c r="R29" s="30">
        <f t="shared" si="21"/>
        <v>17.633125</v>
      </c>
      <c r="S29" s="30">
        <f t="shared" si="21"/>
        <v>17.53705882352941</v>
      </c>
      <c r="T29" s="30">
        <f t="shared" si="21"/>
        <v>17.562777777777779</v>
      </c>
      <c r="U29" s="30">
        <f t="shared" si="21"/>
        <v>17.480526315789472</v>
      </c>
      <c r="V29" s="30">
        <f t="shared" si="21"/>
        <v>16.906500000000001</v>
      </c>
      <c r="W29" s="30">
        <f t="shared" si="21"/>
        <v>16.958571428571428</v>
      </c>
      <c r="X29" s="30">
        <f t="shared" si="21"/>
        <v>16.869545454545456</v>
      </c>
      <c r="Y29" s="30">
        <f t="shared" si="21"/>
        <v>16.831739130434784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topLeftCell="A46"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t="shared" ref="D25:I25" si="10" xml:space="preserve"> C$25 + D$19</f>
        <v>0.33</v>
      </c>
      <c r="E25" s="22">
        <f t="shared" si="10"/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t="shared" ref="D26:I26" si="12" xml:space="preserve"> C$26 + D$20</f>
        <v>0.25</v>
      </c>
      <c r="E26" s="22">
        <f t="shared" si="12"/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2.66</v>
      </c>
      <c r="D38" s="25">
        <f xml:space="preserve"> SUM(J7:P7) + SUM(J19:P19)</f>
        <v>9</v>
      </c>
      <c r="E38" s="25">
        <f xml:space="preserve"> SUM(Q7:W7) + SUM(Q19:W19)</f>
        <v>5.4</v>
      </c>
      <c r="F38" s="25">
        <f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1.25</v>
      </c>
      <c r="D39" s="25">
        <f xml:space="preserve"> SUM(J8:P8) + SUM(J20:P20)</f>
        <v>3</v>
      </c>
      <c r="E39" s="25">
        <f xml:space="preserve"> SUM(Q8:W8) + SUM(Q20:W20)</f>
        <v>9</v>
      </c>
      <c r="F39" s="25">
        <f xml:space="preserve"> SUM(C39:E39)</f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SUM(Q9:W9) + SUM(Q21:W21)</f>
        <v>0</v>
      </c>
      <c r="F40" s="25">
        <f xml:space="preserve"> SUM(C40:E40)</f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xml:space="preserve"> SUM(D37:D40)</f>
        <v>17</v>
      </c>
      <c r="E41" s="21">
        <f xml:space="preserve"> SUM(E37:E40)</f>
        <v>18.899999999999999</v>
      </c>
      <c r="F41" s="21">
        <f xml:space="preserve"> SUM(C41:E41)</f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xml:space="preserve"> SUM(C38:D38) / D$36</f>
        <v>5.83</v>
      </c>
      <c r="E44" s="25">
        <f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xml:space="preserve"> SUM(C39:D39) / D$36</f>
        <v>2.125</v>
      </c>
      <c r="E45" s="25">
        <f xml:space="preserve"> SUM(C39:E39) / E$36</f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xml:space="preserve"> SUM(C40:D40) / D$36</f>
        <v>0</v>
      </c>
      <c r="E46" s="25">
        <f xml:space="preserve"> SUM(C40:E40) / E$36</f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xml:space="preserve"> SUM(D43:D46)</f>
        <v>11.455</v>
      </c>
      <c r="E47" s="21">
        <f xml:space="preserve"> SUM(E43:E46)</f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6.25</v>
      </c>
      <c r="D38" s="25">
        <f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3.5</v>
      </c>
      <c r="D39" s="25">
        <f xml:space="preserve"> SUM(J8:P8) + SUM(J20:P20)</f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6.25</v>
      </c>
      <c r="D44" s="25">
        <f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3.5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5.0670000000000002</v>
      </c>
      <c r="D39" s="25">
        <f xml:space="preserve"> SUM(J8:P8) + SUM(J20:P20)</f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5.0670000000000002</v>
      </c>
      <c r="D45" s="25">
        <f xml:space="preserve"> SUM(C39:D39) / D$36</f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11</v>
      </c>
      <c r="D44" s="25">
        <f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6</v>
      </c>
      <c r="D45" s="25">
        <f xml:space="preserve"> SUM(C39:D39) / D$36</f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2</v>
      </c>
      <c r="D39" s="25">
        <f xml:space="preserve"> SUM(J8:P8) + SUM(J20:P20)</f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2</v>
      </c>
      <c r="D45" s="25">
        <f xml:space="preserve"> SUM(C39:D39) / D$36</f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4" zoomScale="115" zoomScaleNormal="115" zoomScalePageLayoutView="115" workbookViewId="0">
      <selection activeCell="P6" sqref="P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12</v>
      </c>
      <c r="D39" s="25">
        <f xml:space="preserve"> SUM(J8:P8) + SUM(J20:P20)</f>
        <v>5</v>
      </c>
      <c r="E39" s="25">
        <f xml:space="preserve"> SUM(C39:D39)</f>
        <v>17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23.5</v>
      </c>
      <c r="D41" s="21">
        <f xml:space="preserve"> SUM(D37:D40)</f>
        <v>23</v>
      </c>
      <c r="E41" s="21">
        <f xml:space="preserve"> SUM(C41:D41)</f>
        <v>46.5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12</v>
      </c>
      <c r="D45" s="25">
        <f xml:space="preserve"> SUM(C39:D39) / D$36</f>
        <v>8.5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23.5</v>
      </c>
      <c r="D47" s="21">
        <f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F45" sqref="F4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5</v>
      </c>
      <c r="K6" s="33">
        <v>3</v>
      </c>
      <c r="L6" s="33">
        <v>5</v>
      </c>
      <c r="M6" s="33">
        <v>0</v>
      </c>
      <c r="N6" s="33">
        <v>7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6</v>
      </c>
      <c r="H7" s="34">
        <v>0</v>
      </c>
      <c r="I7" s="34">
        <v>2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2</v>
      </c>
      <c r="F8" s="34">
        <v>0</v>
      </c>
      <c r="G8" s="34">
        <v>2</v>
      </c>
      <c r="H8" s="34">
        <v>0</v>
      </c>
      <c r="I8" s="34">
        <v>0</v>
      </c>
      <c r="J8" s="60">
        <v>2</v>
      </c>
      <c r="K8" s="33">
        <v>3</v>
      </c>
      <c r="L8" s="33">
        <v>1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8</v>
      </c>
      <c r="H10" s="21">
        <f t="shared" si="1"/>
        <v>0</v>
      </c>
      <c r="I10" s="61">
        <f t="shared" si="1"/>
        <v>2</v>
      </c>
      <c r="J10" s="62">
        <f t="shared" si="1"/>
        <v>7</v>
      </c>
      <c r="K10" s="21">
        <f t="shared" si="1"/>
        <v>6</v>
      </c>
      <c r="L10" s="21">
        <f t="shared" si="1"/>
        <v>6</v>
      </c>
      <c r="M10" s="21">
        <f t="shared" si="1"/>
        <v>2</v>
      </c>
      <c r="N10" s="21">
        <f t="shared" si="1"/>
        <v>7</v>
      </c>
      <c r="O10" s="21">
        <f t="shared" si="1"/>
        <v>1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5</v>
      </c>
      <c r="K12" s="22">
        <f t="shared" si="2"/>
        <v>8</v>
      </c>
      <c r="L12" s="22">
        <f t="shared" si="2"/>
        <v>13</v>
      </c>
      <c r="M12" s="22">
        <f t="shared" si="2"/>
        <v>13</v>
      </c>
      <c r="N12" s="22">
        <f t="shared" si="2"/>
        <v>20</v>
      </c>
      <c r="O12" s="22">
        <f t="shared" si="2"/>
        <v>20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6</v>
      </c>
      <c r="H13" s="22">
        <f t="shared" si="3"/>
        <v>6</v>
      </c>
      <c r="I13" s="63">
        <f t="shared" si="3"/>
        <v>8</v>
      </c>
      <c r="J13" s="64">
        <f t="shared" si="3"/>
        <v>8</v>
      </c>
      <c r="K13" s="22">
        <f t="shared" si="3"/>
        <v>8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4</v>
      </c>
      <c r="H14" s="22">
        <f t="shared" si="4"/>
        <v>4</v>
      </c>
      <c r="I14" s="63">
        <f t="shared" si="4"/>
        <v>4</v>
      </c>
      <c r="J14" s="64">
        <f t="shared" si="4"/>
        <v>6</v>
      </c>
      <c r="K14" s="22">
        <f t="shared" si="4"/>
        <v>9</v>
      </c>
      <c r="L14" s="22">
        <f t="shared" si="4"/>
        <v>10</v>
      </c>
      <c r="M14" s="22">
        <f t="shared" si="4"/>
        <v>12</v>
      </c>
      <c r="N14" s="22">
        <f t="shared" si="4"/>
        <v>12</v>
      </c>
      <c r="O14" s="22">
        <f t="shared" si="4"/>
        <v>13</v>
      </c>
      <c r="P14" s="63">
        <f t="shared" si="4"/>
        <v>13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10</v>
      </c>
      <c r="H16" s="21">
        <f t="shared" si="6"/>
        <v>10</v>
      </c>
      <c r="I16" s="61">
        <f t="shared" si="6"/>
        <v>12</v>
      </c>
      <c r="J16" s="62">
        <f t="shared" si="6"/>
        <v>19</v>
      </c>
      <c r="K16" s="21">
        <f t="shared" si="6"/>
        <v>25</v>
      </c>
      <c r="L16" s="21">
        <f t="shared" si="6"/>
        <v>31</v>
      </c>
      <c r="M16" s="21">
        <f t="shared" si="6"/>
        <v>33</v>
      </c>
      <c r="N16" s="21">
        <f t="shared" si="6"/>
        <v>40</v>
      </c>
      <c r="O16" s="21">
        <f t="shared" si="6"/>
        <v>41</v>
      </c>
      <c r="P16" s="61">
        <f t="shared" si="6"/>
        <v>41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0.625</v>
      </c>
      <c r="K30" s="22">
        <f t="shared" si="13"/>
        <v>0.88888888888888884</v>
      </c>
      <c r="L30" s="22">
        <f t="shared" si="13"/>
        <v>1.3</v>
      </c>
      <c r="M30" s="22">
        <f t="shared" si="13"/>
        <v>1.1818181818181819</v>
      </c>
      <c r="N30" s="22">
        <f t="shared" si="13"/>
        <v>1.6666666666666667</v>
      </c>
      <c r="O30" s="22">
        <f t="shared" si="13"/>
        <v>1.5384615384615385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1.2</v>
      </c>
      <c r="H31" s="22">
        <f t="shared" si="14"/>
        <v>1</v>
      </c>
      <c r="I31" s="63">
        <f t="shared" si="14"/>
        <v>1.1428571428571428</v>
      </c>
      <c r="J31" s="64">
        <f t="shared" si="14"/>
        <v>1</v>
      </c>
      <c r="K31" s="22">
        <f t="shared" si="14"/>
        <v>0.88888888888888884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0.8</v>
      </c>
      <c r="H32" s="22">
        <f t="shared" si="15"/>
        <v>0.66666666666666663</v>
      </c>
      <c r="I32" s="63">
        <f t="shared" si="15"/>
        <v>0.5714285714285714</v>
      </c>
      <c r="J32" s="64">
        <f t="shared" si="15"/>
        <v>0.75</v>
      </c>
      <c r="K32" s="22">
        <f t="shared" si="15"/>
        <v>1</v>
      </c>
      <c r="L32" s="22">
        <f t="shared" si="15"/>
        <v>1</v>
      </c>
      <c r="M32" s="22">
        <f t="shared" si="15"/>
        <v>1.0909090909090908</v>
      </c>
      <c r="N32" s="22">
        <f t="shared" si="15"/>
        <v>1</v>
      </c>
      <c r="O32" s="22">
        <f t="shared" si="15"/>
        <v>1</v>
      </c>
      <c r="P32" s="63">
        <f t="shared" si="15"/>
        <v>0.9285714285714286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2</v>
      </c>
      <c r="H34" s="21">
        <f t="shared" si="17"/>
        <v>1.6666666666666665</v>
      </c>
      <c r="I34" s="61">
        <f t="shared" si="17"/>
        <v>1.7142857142857142</v>
      </c>
      <c r="J34" s="62">
        <f t="shared" si="17"/>
        <v>2.375</v>
      </c>
      <c r="K34" s="21">
        <f t="shared" si="17"/>
        <v>2.7777777777777777</v>
      </c>
      <c r="L34" s="21">
        <f t="shared" si="17"/>
        <v>3.1</v>
      </c>
      <c r="M34" s="21">
        <f t="shared" si="17"/>
        <v>3</v>
      </c>
      <c r="N34" s="21">
        <f t="shared" si="17"/>
        <v>3.3333333333333335</v>
      </c>
      <c r="O34" s="21">
        <f t="shared" si="17"/>
        <v>3.1538461538461542</v>
      </c>
      <c r="P34" s="61">
        <f t="shared" si="17"/>
        <v>2.9285714285714288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20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8</v>
      </c>
      <c r="D38" s="25">
        <f xml:space="preserve"> SUM(J7:P7) + SUM(J19:P19)</f>
        <v>0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4</v>
      </c>
      <c r="D39" s="25">
        <f xml:space="preserve"> SUM(J8:P8) + SUM(J20:P20)</f>
        <v>9</v>
      </c>
      <c r="E39" s="25">
        <f xml:space="preserve"> SUM(C39:D39)</f>
        <v>13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</v>
      </c>
      <c r="D41" s="21">
        <f xml:space="preserve"> SUM(D37:D40)</f>
        <v>29</v>
      </c>
      <c r="E41" s="21">
        <f xml:space="preserve"> SUM(C41:D41)</f>
        <v>41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8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4</v>
      </c>
      <c r="D45" s="25">
        <f xml:space="preserve"> SUM(C39:D39) / D$36</f>
        <v>6.5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</v>
      </c>
      <c r="D47" s="21">
        <f xml:space="preserve"> SUM(D43:D46)</f>
        <v>20.5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6" zoomScale="115" zoomScaleNormal="115" zoomScalePageLayoutView="115" workbookViewId="0">
      <selection activeCell="Q19" sqref="Q1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6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3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4</v>
      </c>
      <c r="K7" s="33">
        <v>7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1</v>
      </c>
      <c r="D8" s="34">
        <v>0</v>
      </c>
      <c r="E8" s="34">
        <v>0</v>
      </c>
      <c r="F8" s="34">
        <v>2</v>
      </c>
      <c r="G8" s="34">
        <v>0</v>
      </c>
      <c r="H8" s="34">
        <v>0</v>
      </c>
      <c r="I8" s="34">
        <v>4</v>
      </c>
      <c r="J8" s="60">
        <v>0</v>
      </c>
      <c r="K8" s="33">
        <v>0</v>
      </c>
      <c r="L8" s="33">
        <v>3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7</v>
      </c>
      <c r="D10" s="21">
        <f t="shared" ref="D10:P10" si="1" xml:space="preserve"> SUM(D6:D9)</f>
        <v>3</v>
      </c>
      <c r="E10" s="21">
        <f t="shared" si="1"/>
        <v>0</v>
      </c>
      <c r="F10" s="21">
        <f t="shared" si="1"/>
        <v>2</v>
      </c>
      <c r="G10" s="21">
        <f t="shared" si="1"/>
        <v>0</v>
      </c>
      <c r="H10" s="21">
        <f t="shared" si="1"/>
        <v>0</v>
      </c>
      <c r="I10" s="61">
        <f t="shared" si="1"/>
        <v>4</v>
      </c>
      <c r="J10" s="62">
        <f t="shared" si="1"/>
        <v>4</v>
      </c>
      <c r="K10" s="21">
        <f t="shared" si="1"/>
        <v>7</v>
      </c>
      <c r="L10" s="21">
        <f t="shared" si="1"/>
        <v>3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6</v>
      </c>
      <c r="D12" s="22">
        <f t="shared" ref="D12:P12" si="2" xml:space="preserve"> C$12 + D$6</f>
        <v>6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6</v>
      </c>
      <c r="J12" s="64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14</v>
      </c>
      <c r="L13" s="22">
        <f t="shared" si="3"/>
        <v>14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3">
        <f t="shared" si="3"/>
        <v>14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1</v>
      </c>
      <c r="F14" s="22">
        <f t="shared" si="4"/>
        <v>3</v>
      </c>
      <c r="G14" s="22">
        <f t="shared" si="4"/>
        <v>3</v>
      </c>
      <c r="H14" s="22">
        <f t="shared" si="4"/>
        <v>3</v>
      </c>
      <c r="I14" s="63">
        <f t="shared" si="4"/>
        <v>7</v>
      </c>
      <c r="J14" s="64">
        <f t="shared" si="4"/>
        <v>7</v>
      </c>
      <c r="K14" s="22">
        <f t="shared" si="4"/>
        <v>7</v>
      </c>
      <c r="L14" s="22">
        <f t="shared" si="4"/>
        <v>10</v>
      </c>
      <c r="M14" s="22">
        <f t="shared" si="4"/>
        <v>10</v>
      </c>
      <c r="N14" s="22">
        <f t="shared" si="4"/>
        <v>10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7</v>
      </c>
      <c r="D16" s="21">
        <f t="shared" ref="D16:P16" si="6" xml:space="preserve"> SUM(D12:D15)</f>
        <v>10</v>
      </c>
      <c r="E16" s="21">
        <f t="shared" si="6"/>
        <v>10</v>
      </c>
      <c r="F16" s="21">
        <f t="shared" si="6"/>
        <v>12</v>
      </c>
      <c r="G16" s="21">
        <f t="shared" si="6"/>
        <v>12</v>
      </c>
      <c r="H16" s="21">
        <f t="shared" si="6"/>
        <v>12</v>
      </c>
      <c r="I16" s="61">
        <f t="shared" si="6"/>
        <v>16</v>
      </c>
      <c r="J16" s="62">
        <f t="shared" si="6"/>
        <v>20</v>
      </c>
      <c r="K16" s="21">
        <f t="shared" si="6"/>
        <v>27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32</v>
      </c>
      <c r="P16" s="61">
        <f t="shared" si="6"/>
        <v>32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6</v>
      </c>
      <c r="D30" s="22">
        <f xml:space="preserve"> (D$12 + D$24) / D$5</f>
        <v>3</v>
      </c>
      <c r="E30" s="22">
        <f t="shared" ref="E30:P30" si="13" xml:space="preserve"> (E$12 + E$24) / E$5</f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0.8571428571428571</v>
      </c>
      <c r="J30" s="64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1.5555555555555556</v>
      </c>
      <c r="L31" s="22">
        <f t="shared" si="14"/>
        <v>1.4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3">
        <f t="shared" si="14"/>
        <v>1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0.33333333333333331</v>
      </c>
      <c r="F32" s="22">
        <f t="shared" si="15"/>
        <v>0.75</v>
      </c>
      <c r="G32" s="22">
        <f t="shared" si="15"/>
        <v>0.6</v>
      </c>
      <c r="H32" s="22">
        <f t="shared" si="15"/>
        <v>0.5</v>
      </c>
      <c r="I32" s="63">
        <f t="shared" si="15"/>
        <v>1</v>
      </c>
      <c r="J32" s="64">
        <f t="shared" si="15"/>
        <v>0.875</v>
      </c>
      <c r="K32" s="22">
        <f t="shared" si="15"/>
        <v>0.77777777777777779</v>
      </c>
      <c r="L32" s="22">
        <f t="shared" si="15"/>
        <v>1</v>
      </c>
      <c r="M32" s="22">
        <f t="shared" si="15"/>
        <v>0.90909090909090906</v>
      </c>
      <c r="N32" s="22">
        <f t="shared" si="15"/>
        <v>0.83333333333333337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7</v>
      </c>
      <c r="D34" s="21">
        <f t="shared" ref="D34:P34" si="17" xml:space="preserve"> SUM(D30:D33)</f>
        <v>5</v>
      </c>
      <c r="E34" s="21">
        <f t="shared" si="17"/>
        <v>3.3333333333333335</v>
      </c>
      <c r="F34" s="21">
        <f t="shared" si="17"/>
        <v>3</v>
      </c>
      <c r="G34" s="21">
        <f t="shared" si="17"/>
        <v>2.4</v>
      </c>
      <c r="H34" s="21">
        <f t="shared" si="17"/>
        <v>2</v>
      </c>
      <c r="I34" s="61">
        <f t="shared" si="17"/>
        <v>2.2857142857142856</v>
      </c>
      <c r="J34" s="62">
        <f t="shared" si="17"/>
        <v>2.5</v>
      </c>
      <c r="K34" s="21">
        <f t="shared" si="17"/>
        <v>3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2.4615384615384617</v>
      </c>
      <c r="P34" s="61">
        <f t="shared" si="17"/>
        <v>2.2857142857142856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0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11</v>
      </c>
      <c r="E38" s="25">
        <f xml:space="preserve"> SUM(C38:D38)</f>
        <v>14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16</v>
      </c>
      <c r="D41" s="21">
        <f xml:space="preserve"> SUM(D37:D40)</f>
        <v>16</v>
      </c>
      <c r="E41" s="21">
        <f xml:space="preserve"> SUM(C41:D41)</f>
        <v>32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7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16</v>
      </c>
      <c r="D47" s="21">
        <f xml:space="preserve"> SUM(D43:D46)</f>
        <v>16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52" zoomScale="115" zoomScaleNormal="115" zoomScalePageLayoutView="115" workbookViewId="0">
      <selection activeCell="S9" sqref="S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1</v>
      </c>
      <c r="J6" s="60">
        <v>0</v>
      </c>
      <c r="K6" s="33">
        <v>0</v>
      </c>
      <c r="L6" s="33">
        <v>5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4</v>
      </c>
      <c r="D7" s="34">
        <v>0</v>
      </c>
      <c r="E7" s="34">
        <v>0</v>
      </c>
      <c r="F7" s="34">
        <v>0</v>
      </c>
      <c r="G7" s="34">
        <v>0</v>
      </c>
      <c r="H7" s="34">
        <v>5</v>
      </c>
      <c r="I7" s="34">
        <v>1</v>
      </c>
      <c r="J7" s="60">
        <v>2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4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3</v>
      </c>
      <c r="F8" s="34">
        <v>0</v>
      </c>
      <c r="G8" s="34">
        <v>4</v>
      </c>
      <c r="H8" s="34">
        <v>0</v>
      </c>
      <c r="I8" s="34">
        <v>0</v>
      </c>
      <c r="J8" s="60">
        <v>5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4</v>
      </c>
      <c r="D10" s="21">
        <f t="shared" ref="D10:P10" si="1" xml:space="preserve"> SUM(D6:D9)</f>
        <v>0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5</v>
      </c>
      <c r="I10" s="61">
        <f t="shared" si="1"/>
        <v>2</v>
      </c>
      <c r="J10" s="62">
        <f t="shared" si="1"/>
        <v>7</v>
      </c>
      <c r="K10" s="21">
        <f t="shared" si="1"/>
        <v>0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4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1</v>
      </c>
      <c r="J12" s="64">
        <f t="shared" si="2"/>
        <v>1</v>
      </c>
      <c r="K12" s="22">
        <f t="shared" si="2"/>
        <v>1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4</v>
      </c>
      <c r="D13" s="22">
        <f t="shared" ref="D13:P13" si="3" xml:space="preserve"> C$13 + D$7</f>
        <v>4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9</v>
      </c>
      <c r="I13" s="63">
        <f t="shared" si="3"/>
        <v>10</v>
      </c>
      <c r="J13" s="64">
        <f t="shared" si="3"/>
        <v>12</v>
      </c>
      <c r="K13" s="22">
        <f t="shared" si="3"/>
        <v>12</v>
      </c>
      <c r="L13" s="22">
        <f t="shared" si="3"/>
        <v>12</v>
      </c>
      <c r="M13" s="22">
        <f t="shared" si="3"/>
        <v>12</v>
      </c>
      <c r="N13" s="22">
        <f t="shared" si="3"/>
        <v>12</v>
      </c>
      <c r="O13" s="22">
        <f t="shared" si="3"/>
        <v>12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3</v>
      </c>
      <c r="F14" s="22">
        <f t="shared" si="4"/>
        <v>3</v>
      </c>
      <c r="G14" s="22">
        <f t="shared" si="4"/>
        <v>7</v>
      </c>
      <c r="H14" s="22">
        <f t="shared" si="4"/>
        <v>7</v>
      </c>
      <c r="I14" s="63">
        <f t="shared" si="4"/>
        <v>7</v>
      </c>
      <c r="J14" s="64">
        <f t="shared" si="4"/>
        <v>12</v>
      </c>
      <c r="K14" s="22">
        <f t="shared" si="4"/>
        <v>12</v>
      </c>
      <c r="L14" s="22">
        <f t="shared" si="4"/>
        <v>12</v>
      </c>
      <c r="M14" s="22">
        <f t="shared" si="4"/>
        <v>12</v>
      </c>
      <c r="N14" s="22">
        <f t="shared" si="4"/>
        <v>12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4</v>
      </c>
      <c r="D16" s="21">
        <f t="shared" ref="D16:P16" si="6" xml:space="preserve"> SUM(D12:D15)</f>
        <v>4</v>
      </c>
      <c r="E16" s="21">
        <f t="shared" si="6"/>
        <v>7</v>
      </c>
      <c r="F16" s="21">
        <f t="shared" si="6"/>
        <v>7</v>
      </c>
      <c r="G16" s="21">
        <f t="shared" si="6"/>
        <v>11</v>
      </c>
      <c r="H16" s="21">
        <f t="shared" si="6"/>
        <v>16</v>
      </c>
      <c r="I16" s="61">
        <f t="shared" si="6"/>
        <v>18</v>
      </c>
      <c r="J16" s="62">
        <f t="shared" si="6"/>
        <v>25</v>
      </c>
      <c r="K16" s="21">
        <f t="shared" si="6"/>
        <v>25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30</v>
      </c>
      <c r="P16" s="61">
        <f t="shared" si="6"/>
        <v>34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0.14285714285714285</v>
      </c>
      <c r="J30" s="64">
        <f t="shared" si="13"/>
        <v>0.125</v>
      </c>
      <c r="K30" s="22">
        <f t="shared" si="13"/>
        <v>0.1111111111111111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1.5</v>
      </c>
      <c r="I31" s="63">
        <f t="shared" si="14"/>
        <v>1.4285714285714286</v>
      </c>
      <c r="J31" s="64">
        <f t="shared" si="14"/>
        <v>1.5</v>
      </c>
      <c r="K31" s="22">
        <f t="shared" si="14"/>
        <v>1.3333333333333333</v>
      </c>
      <c r="L31" s="22">
        <f t="shared" si="14"/>
        <v>1.2</v>
      </c>
      <c r="M31" s="22">
        <f t="shared" si="14"/>
        <v>1.0909090909090908</v>
      </c>
      <c r="N31" s="22">
        <f t="shared" si="14"/>
        <v>1</v>
      </c>
      <c r="O31" s="22">
        <f t="shared" si="14"/>
        <v>0.92307692307692313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</v>
      </c>
      <c r="F32" s="22">
        <f t="shared" si="15"/>
        <v>0.75</v>
      </c>
      <c r="G32" s="22">
        <f t="shared" si="15"/>
        <v>1.4</v>
      </c>
      <c r="H32" s="22">
        <f t="shared" si="15"/>
        <v>1.1666666666666667</v>
      </c>
      <c r="I32" s="63">
        <f t="shared" si="15"/>
        <v>1</v>
      </c>
      <c r="J32" s="64">
        <f t="shared" si="15"/>
        <v>1.5</v>
      </c>
      <c r="K32" s="22">
        <f t="shared" si="15"/>
        <v>1.3333333333333333</v>
      </c>
      <c r="L32" s="22">
        <f t="shared" si="15"/>
        <v>1.2</v>
      </c>
      <c r="M32" s="22">
        <f t="shared" si="15"/>
        <v>1.0909090909090908</v>
      </c>
      <c r="N32" s="22">
        <f t="shared" si="15"/>
        <v>1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2</v>
      </c>
      <c r="E34" s="21">
        <f t="shared" si="17"/>
        <v>2.333333333333333</v>
      </c>
      <c r="F34" s="21">
        <f t="shared" si="17"/>
        <v>1.75</v>
      </c>
      <c r="G34" s="21">
        <f t="shared" si="17"/>
        <v>2.2000000000000002</v>
      </c>
      <c r="H34" s="21">
        <f t="shared" si="17"/>
        <v>2.666666666666667</v>
      </c>
      <c r="I34" s="61">
        <f t="shared" si="17"/>
        <v>2.5714285714285712</v>
      </c>
      <c r="J34" s="62">
        <f t="shared" si="17"/>
        <v>3.125</v>
      </c>
      <c r="K34" s="21">
        <f t="shared" si="17"/>
        <v>2.7777777777777777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2.3076923076923075</v>
      </c>
      <c r="P34" s="61">
        <f t="shared" si="17"/>
        <v>2.4285714285714284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5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18</v>
      </c>
      <c r="D41" s="21">
        <f xml:space="preserve"> SUM(D37:D40)</f>
        <v>16</v>
      </c>
      <c r="E41" s="21">
        <f xml:space="preserve"> SUM(C41:D41)</f>
        <v>34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18</v>
      </c>
      <c r="D47" s="21">
        <f xml:space="preserve"> SUM(D43:D46)</f>
        <v>17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85" zoomScaleNormal="85" zoomScalePageLayoutView="115" workbookViewId="0">
      <selection activeCell="I11" sqref="I11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3</v>
      </c>
      <c r="J6" s="60">
        <v>0</v>
      </c>
      <c r="K6" s="33">
        <v>0</v>
      </c>
      <c r="L6" s="33">
        <v>4</v>
      </c>
      <c r="M6" s="33">
        <v>2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3</v>
      </c>
      <c r="I7" s="34">
        <v>0</v>
      </c>
      <c r="J7" s="60">
        <v>4</v>
      </c>
      <c r="K7" s="33">
        <v>0</v>
      </c>
      <c r="L7" s="33">
        <v>0</v>
      </c>
      <c r="M7" s="33">
        <v>3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2</v>
      </c>
      <c r="M8" s="33">
        <v>3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3</v>
      </c>
      <c r="I10" s="61">
        <f t="shared" si="1"/>
        <v>3</v>
      </c>
      <c r="J10" s="62">
        <f t="shared" si="1"/>
        <v>4</v>
      </c>
      <c r="K10" s="21">
        <f t="shared" si="1"/>
        <v>0</v>
      </c>
      <c r="L10" s="21">
        <f t="shared" si="1"/>
        <v>6</v>
      </c>
      <c r="M10" s="21">
        <f t="shared" si="1"/>
        <v>8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3</v>
      </c>
      <c r="J12" s="64">
        <f t="shared" si="2"/>
        <v>3</v>
      </c>
      <c r="K12" s="22">
        <f t="shared" si="2"/>
        <v>3</v>
      </c>
      <c r="L12" s="22">
        <f t="shared" si="2"/>
        <v>7</v>
      </c>
      <c r="M12" s="22">
        <f t="shared" si="2"/>
        <v>9</v>
      </c>
      <c r="N12" s="22">
        <f t="shared" si="2"/>
        <v>9</v>
      </c>
      <c r="O12" s="22">
        <f t="shared" si="2"/>
        <v>9</v>
      </c>
      <c r="P12" s="63">
        <f t="shared" si="2"/>
        <v>9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2</v>
      </c>
      <c r="M14" s="22">
        <f t="shared" si="4"/>
        <v>5</v>
      </c>
      <c r="N14" s="22">
        <f t="shared" si="4"/>
        <v>5</v>
      </c>
      <c r="O14" s="22">
        <f t="shared" si="4"/>
        <v>5</v>
      </c>
      <c r="P14" s="63">
        <f t="shared" si="4"/>
        <v>5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3</v>
      </c>
      <c r="I16" s="61">
        <f t="shared" si="6"/>
        <v>6</v>
      </c>
      <c r="J16" s="62">
        <f t="shared" si="6"/>
        <v>10</v>
      </c>
      <c r="K16" s="21">
        <f t="shared" si="6"/>
        <v>10</v>
      </c>
      <c r="L16" s="21">
        <f t="shared" si="6"/>
        <v>16</v>
      </c>
      <c r="M16" s="21">
        <f t="shared" si="6"/>
        <v>24</v>
      </c>
      <c r="N16" s="21">
        <f t="shared" si="6"/>
        <v>24</v>
      </c>
      <c r="O16" s="21">
        <f t="shared" si="6"/>
        <v>24</v>
      </c>
      <c r="P16" s="61">
        <f t="shared" si="6"/>
        <v>24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0.42857142857142855</v>
      </c>
      <c r="J30" s="64">
        <f t="shared" si="13"/>
        <v>0.375</v>
      </c>
      <c r="K30" s="22">
        <f t="shared" si="13"/>
        <v>0.33333333333333331</v>
      </c>
      <c r="L30" s="22">
        <f t="shared" si="13"/>
        <v>0.7</v>
      </c>
      <c r="M30" s="22">
        <f t="shared" si="13"/>
        <v>0.81818181818181823</v>
      </c>
      <c r="N30" s="22">
        <f t="shared" si="13"/>
        <v>0.75</v>
      </c>
      <c r="O30" s="22">
        <f t="shared" si="13"/>
        <v>0.69230769230769229</v>
      </c>
      <c r="P30" s="63">
        <f t="shared" si="13"/>
        <v>0.6428571428571429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0.7142857142857143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0.2</v>
      </c>
      <c r="M32" s="22">
        <f t="shared" si="15"/>
        <v>0.45454545454545453</v>
      </c>
      <c r="N32" s="22">
        <f t="shared" si="15"/>
        <v>0.41666666666666669</v>
      </c>
      <c r="O32" s="22">
        <f t="shared" si="15"/>
        <v>0.38461538461538464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0.5</v>
      </c>
      <c r="I34" s="61">
        <f t="shared" si="17"/>
        <v>0.8571428571428571</v>
      </c>
      <c r="J34" s="62">
        <f t="shared" si="17"/>
        <v>1.25</v>
      </c>
      <c r="K34" s="21">
        <f t="shared" si="17"/>
        <v>1.1111111111111112</v>
      </c>
      <c r="L34" s="21">
        <f t="shared" si="17"/>
        <v>1.5999999999999999</v>
      </c>
      <c r="M34" s="21">
        <f t="shared" si="17"/>
        <v>2.1818181818181817</v>
      </c>
      <c r="N34" s="21">
        <f t="shared" si="17"/>
        <v>2</v>
      </c>
      <c r="O34" s="21">
        <f t="shared" si="17"/>
        <v>1.8461538461538463</v>
      </c>
      <c r="P34" s="61">
        <f t="shared" si="17"/>
        <v>1.7142857142857144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3</v>
      </c>
      <c r="D37" s="25">
        <f xml:space="preserve"> SUM(J6:P6) + SUM(J18:P18)</f>
        <v>6</v>
      </c>
      <c r="E37" s="25">
        <f xml:space="preserve"> SUM(C37:D37)</f>
        <v>9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7</v>
      </c>
      <c r="E38" s="25">
        <f xml:space="preserve"> SUM(C38:D38)</f>
        <v>10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6</v>
      </c>
      <c r="D41" s="21">
        <f xml:space="preserve"> SUM(D37:D40)</f>
        <v>18</v>
      </c>
      <c r="E41" s="21">
        <f xml:space="preserve"> SUM(C41:D41)</f>
        <v>24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3</v>
      </c>
      <c r="D43" s="25">
        <f xml:space="preserve"> SUM(C37:D37) / D$36</f>
        <v>4.5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6</v>
      </c>
      <c r="D47" s="21">
        <f xml:space="preserve"> SUM(D43:D46)</f>
        <v>12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58" zoomScale="115" zoomScaleNormal="115" zoomScalePageLayoutView="115" workbookViewId="0">
      <selection activeCell="R15" sqref="R1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4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7.5</v>
      </c>
      <c r="F8" s="34">
        <v>0</v>
      </c>
      <c r="G8" s="34">
        <v>2.5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0</v>
      </c>
      <c r="G10" s="21">
        <f t="shared" si="1"/>
        <v>2.5</v>
      </c>
      <c r="H10" s="21">
        <f t="shared" si="1"/>
        <v>0</v>
      </c>
      <c r="I10" s="61">
        <f t="shared" si="1"/>
        <v>0</v>
      </c>
      <c r="J10" s="62">
        <f t="shared" si="1"/>
        <v>4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3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4</v>
      </c>
      <c r="K13" s="22">
        <f t="shared" si="3"/>
        <v>4</v>
      </c>
      <c r="L13" s="22">
        <f t="shared" si="3"/>
        <v>4</v>
      </c>
      <c r="M13" s="22">
        <f t="shared" si="3"/>
        <v>4</v>
      </c>
      <c r="N13" s="22">
        <f t="shared" si="3"/>
        <v>4</v>
      </c>
      <c r="O13" s="22">
        <f t="shared" si="3"/>
        <v>4</v>
      </c>
      <c r="P13" s="63">
        <f t="shared" si="3"/>
        <v>7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7.5</v>
      </c>
      <c r="F14" s="22">
        <f t="shared" si="4"/>
        <v>7.5</v>
      </c>
      <c r="G14" s="22">
        <f t="shared" si="4"/>
        <v>10</v>
      </c>
      <c r="H14" s="22">
        <f t="shared" si="4"/>
        <v>10</v>
      </c>
      <c r="I14" s="63">
        <f t="shared" si="4"/>
        <v>10</v>
      </c>
      <c r="J14" s="64">
        <f t="shared" si="4"/>
        <v>10</v>
      </c>
      <c r="K14" s="22">
        <f t="shared" si="4"/>
        <v>10</v>
      </c>
      <c r="L14" s="22">
        <f t="shared" si="4"/>
        <v>10</v>
      </c>
      <c r="M14" s="22">
        <f t="shared" si="4"/>
        <v>10</v>
      </c>
      <c r="N14" s="22">
        <f t="shared" si="4"/>
        <v>10</v>
      </c>
      <c r="O14" s="22">
        <f t="shared" si="4"/>
        <v>10</v>
      </c>
      <c r="P14" s="63">
        <f t="shared" si="4"/>
        <v>10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7.5</v>
      </c>
      <c r="G16" s="21">
        <f t="shared" si="6"/>
        <v>10</v>
      </c>
      <c r="H16" s="21">
        <f t="shared" si="6"/>
        <v>10</v>
      </c>
      <c r="I16" s="61">
        <f t="shared" si="6"/>
        <v>10</v>
      </c>
      <c r="J16" s="62">
        <f t="shared" si="6"/>
        <v>14</v>
      </c>
      <c r="K16" s="21">
        <f t="shared" si="6"/>
        <v>14</v>
      </c>
      <c r="L16" s="21">
        <f t="shared" si="6"/>
        <v>14</v>
      </c>
      <c r="M16" s="21">
        <f t="shared" si="6"/>
        <v>14</v>
      </c>
      <c r="N16" s="21">
        <f t="shared" si="6"/>
        <v>14</v>
      </c>
      <c r="O16" s="21">
        <f t="shared" si="6"/>
        <v>14</v>
      </c>
      <c r="P16" s="61">
        <f t="shared" si="6"/>
        <v>17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2</v>
      </c>
      <c r="G18" s="34">
        <v>0</v>
      </c>
      <c r="H18" s="34">
        <v>0</v>
      </c>
      <c r="I18" s="34">
        <v>0</v>
      </c>
      <c r="J18" s="60">
        <v>4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3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3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2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2</v>
      </c>
      <c r="G22" s="21">
        <f t="shared" si="7"/>
        <v>0</v>
      </c>
      <c r="H22" s="21">
        <f t="shared" si="7"/>
        <v>3</v>
      </c>
      <c r="I22" s="61">
        <f t="shared" si="7"/>
        <v>0</v>
      </c>
      <c r="J22" s="62">
        <f t="shared" si="7"/>
        <v>4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2</v>
      </c>
      <c r="P22" s="61">
        <f t="shared" si="7"/>
        <v>3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2</v>
      </c>
      <c r="G24" s="22">
        <f t="shared" si="8"/>
        <v>2</v>
      </c>
      <c r="H24" s="22">
        <f t="shared" si="8"/>
        <v>2</v>
      </c>
      <c r="I24" s="63">
        <f t="shared" si="8"/>
        <v>2</v>
      </c>
      <c r="J24" s="64">
        <f t="shared" si="8"/>
        <v>6</v>
      </c>
      <c r="K24" s="22">
        <f t="shared" si="8"/>
        <v>6</v>
      </c>
      <c r="L24" s="22">
        <f t="shared" si="8"/>
        <v>6</v>
      </c>
      <c r="M24" s="22">
        <f t="shared" si="8"/>
        <v>6</v>
      </c>
      <c r="N24" s="22">
        <f t="shared" si="8"/>
        <v>6</v>
      </c>
      <c r="O24" s="22">
        <f t="shared" si="8"/>
        <v>6</v>
      </c>
      <c r="P24" s="63">
        <f t="shared" si="8"/>
        <v>9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3</v>
      </c>
      <c r="I25" s="63">
        <f t="shared" si="9"/>
        <v>3</v>
      </c>
      <c r="J25" s="64">
        <f t="shared" si="9"/>
        <v>3</v>
      </c>
      <c r="K25" s="22">
        <f t="shared" si="9"/>
        <v>3</v>
      </c>
      <c r="L25" s="22">
        <f t="shared" si="9"/>
        <v>3</v>
      </c>
      <c r="M25" s="22">
        <f t="shared" si="9"/>
        <v>3</v>
      </c>
      <c r="N25" s="22">
        <f t="shared" si="9"/>
        <v>3</v>
      </c>
      <c r="O25" s="22">
        <f t="shared" si="9"/>
        <v>5</v>
      </c>
      <c r="P25" s="63">
        <f t="shared" si="9"/>
        <v>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2</v>
      </c>
      <c r="G28" s="21">
        <f t="shared" si="12"/>
        <v>2</v>
      </c>
      <c r="H28" s="21">
        <f t="shared" si="12"/>
        <v>5</v>
      </c>
      <c r="I28" s="61">
        <f t="shared" si="12"/>
        <v>5</v>
      </c>
      <c r="J28" s="62">
        <f t="shared" si="12"/>
        <v>9</v>
      </c>
      <c r="K28" s="21">
        <f t="shared" si="12"/>
        <v>9</v>
      </c>
      <c r="L28" s="21">
        <f t="shared" si="12"/>
        <v>9</v>
      </c>
      <c r="M28" s="21">
        <f t="shared" si="12"/>
        <v>9</v>
      </c>
      <c r="N28" s="21">
        <f t="shared" si="12"/>
        <v>9</v>
      </c>
      <c r="O28" s="21">
        <f t="shared" si="12"/>
        <v>11</v>
      </c>
      <c r="P28" s="61">
        <f t="shared" si="12"/>
        <v>14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0.5</v>
      </c>
      <c r="G30" s="22">
        <f t="shared" si="13"/>
        <v>0.4</v>
      </c>
      <c r="H30" s="22">
        <f t="shared" si="13"/>
        <v>0.33333333333333331</v>
      </c>
      <c r="I30" s="63">
        <f t="shared" si="13"/>
        <v>0.2857142857142857</v>
      </c>
      <c r="J30" s="64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0.6428571428571429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0.63636363636363635</v>
      </c>
      <c r="N31" s="22">
        <f t="shared" si="14"/>
        <v>0.58333333333333337</v>
      </c>
      <c r="O31" s="22">
        <f t="shared" si="14"/>
        <v>0.69230769230769229</v>
      </c>
      <c r="P31" s="63">
        <f t="shared" si="14"/>
        <v>0.8571428571428571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2.5</v>
      </c>
      <c r="F32" s="22">
        <f t="shared" si="15"/>
        <v>1.875</v>
      </c>
      <c r="G32" s="22">
        <f t="shared" si="15"/>
        <v>2</v>
      </c>
      <c r="H32" s="22">
        <f t="shared" si="15"/>
        <v>1.6666666666666667</v>
      </c>
      <c r="I32" s="63">
        <f t="shared" si="15"/>
        <v>1.4285714285714286</v>
      </c>
      <c r="J32" s="64">
        <f t="shared" si="15"/>
        <v>1.25</v>
      </c>
      <c r="K32" s="22">
        <f t="shared" si="15"/>
        <v>1.1111111111111112</v>
      </c>
      <c r="L32" s="22">
        <f t="shared" si="15"/>
        <v>1</v>
      </c>
      <c r="M32" s="22">
        <f t="shared" si="15"/>
        <v>0.90909090909090906</v>
      </c>
      <c r="N32" s="22">
        <f t="shared" si="15"/>
        <v>0.83333333333333337</v>
      </c>
      <c r="O32" s="22">
        <f t="shared" si="15"/>
        <v>0.76923076923076927</v>
      </c>
      <c r="P32" s="63">
        <f t="shared" si="15"/>
        <v>0.7142857142857143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2.375</v>
      </c>
      <c r="G34" s="21">
        <f t="shared" si="17"/>
        <v>2.4</v>
      </c>
      <c r="H34" s="21">
        <f t="shared" si="17"/>
        <v>2.5</v>
      </c>
      <c r="I34" s="61">
        <f t="shared" si="17"/>
        <v>2.1428571428571428</v>
      </c>
      <c r="J34" s="62">
        <f t="shared" si="17"/>
        <v>2.875</v>
      </c>
      <c r="K34" s="21">
        <f t="shared" si="17"/>
        <v>2.5555555555555554</v>
      </c>
      <c r="L34" s="21">
        <f t="shared" si="17"/>
        <v>2.2999999999999998</v>
      </c>
      <c r="M34" s="21">
        <f t="shared" si="17"/>
        <v>2.0909090909090908</v>
      </c>
      <c r="N34" s="21">
        <f t="shared" si="17"/>
        <v>1.916666666666667</v>
      </c>
      <c r="O34" s="21">
        <f t="shared" si="17"/>
        <v>1.9230769230769229</v>
      </c>
      <c r="P34" s="61">
        <f t="shared" si="17"/>
        <v>2.2142857142857144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7</v>
      </c>
      <c r="E37" s="25">
        <f xml:space="preserve"> SUM(C37:D37)</f>
        <v>9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9</v>
      </c>
      <c r="E38" s="25">
        <f xml:space="preserve"> SUM(C38:D38)</f>
        <v>12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10</v>
      </c>
      <c r="D39" s="25">
        <f xml:space="preserve"> SUM(J8:P8) + SUM(J20:P20)</f>
        <v>0</v>
      </c>
      <c r="E39" s="25">
        <f xml:space="preserve"> SUM(C39:D39)</f>
        <v>10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15</v>
      </c>
      <c r="D41" s="21">
        <f xml:space="preserve"> SUM(D37:D40)</f>
        <v>16</v>
      </c>
      <c r="E41" s="21">
        <f xml:space="preserve"> SUM(C41:D41)</f>
        <v>31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2</v>
      </c>
      <c r="D43" s="25">
        <f xml:space="preserve"> SUM(C37:D37) / D$36</f>
        <v>4.5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6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10</v>
      </c>
      <c r="D45" s="25">
        <f xml:space="preserve"> SUM(C39:D39) / D$36</f>
        <v>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15</v>
      </c>
      <c r="D47" s="21">
        <f xml:space="preserve"> SUM(D43:D46)</f>
        <v>15.5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2016-04-15T02:16:50Z</dcterms:modified>
</cp:coreProperties>
</file>
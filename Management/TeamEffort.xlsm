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240" yWindow="105" windowWidth="14805" windowHeight="8010" tabRatio="695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/>
</workbook>
</file>

<file path=xl/calcChain.xml><?xml version="1.0" encoding="utf-8"?>
<calcChain xmlns="http://schemas.openxmlformats.org/spreadsheetml/2006/main">
  <c r="X14" i="1" l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 s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7" i="1" s="1"/>
  <c r="R16" i="1"/>
  <c r="S16" i="1"/>
  <c r="S13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7" i="1" s="1"/>
  <c r="P16" i="1"/>
  <c r="P17" i="1" s="1"/>
  <c r="Q16" i="1"/>
  <c r="Q13" i="1"/>
  <c r="P13" i="1"/>
  <c r="P8" i="1"/>
  <c r="Q8" i="1"/>
  <c r="P9" i="1"/>
  <c r="Q9" i="1"/>
  <c r="Q11" i="1" s="1"/>
  <c r="P10" i="1"/>
  <c r="Q10" i="1"/>
  <c r="Q7" i="1"/>
  <c r="P7" i="1"/>
  <c r="N14" i="1"/>
  <c r="O14" i="1"/>
  <c r="N15" i="1"/>
  <c r="O15" i="1"/>
  <c r="N16" i="1"/>
  <c r="N17" i="1" s="1"/>
  <c r="O16" i="1"/>
  <c r="O17" i="1" s="1"/>
  <c r="O13" i="1"/>
  <c r="N13" i="1"/>
  <c r="N8" i="1"/>
  <c r="O8" i="1"/>
  <c r="N9" i="1"/>
  <c r="N11" i="1" s="1"/>
  <c r="O9" i="1"/>
  <c r="N10" i="1"/>
  <c r="O10" i="1"/>
  <c r="O7" i="1"/>
  <c r="N7" i="1"/>
  <c r="L14" i="1"/>
  <c r="M14" i="1"/>
  <c r="L15" i="1"/>
  <c r="M15" i="1"/>
  <c r="L16" i="1"/>
  <c r="M16" i="1"/>
  <c r="M17" i="1" s="1"/>
  <c r="M13" i="1"/>
  <c r="L13" i="1"/>
  <c r="L8" i="1"/>
  <c r="M8" i="1"/>
  <c r="L9" i="1"/>
  <c r="M9" i="1"/>
  <c r="M11" i="1" s="1"/>
  <c r="L10" i="1"/>
  <c r="M10" i="1"/>
  <c r="M7" i="1"/>
  <c r="L7" i="1"/>
  <c r="J14" i="1"/>
  <c r="K14" i="1"/>
  <c r="J15" i="1"/>
  <c r="K15" i="1"/>
  <c r="J16" i="1"/>
  <c r="K16" i="1"/>
  <c r="K13" i="1"/>
  <c r="J13" i="1"/>
  <c r="J8" i="1"/>
  <c r="K8" i="1"/>
  <c r="J9" i="1"/>
  <c r="K9" i="1"/>
  <c r="K11" i="1" s="1"/>
  <c r="J10" i="1"/>
  <c r="J11" i="1" s="1"/>
  <c r="K10" i="1"/>
  <c r="K7" i="1"/>
  <c r="J7" i="1"/>
  <c r="H14" i="1"/>
  <c r="I14" i="1"/>
  <c r="H15" i="1"/>
  <c r="I15" i="1"/>
  <c r="H16" i="1"/>
  <c r="H17" i="1" s="1"/>
  <c r="I16" i="1"/>
  <c r="I13" i="1"/>
  <c r="H13" i="1"/>
  <c r="H8" i="1"/>
  <c r="I8" i="1"/>
  <c r="H9" i="1"/>
  <c r="I9" i="1"/>
  <c r="I11" i="1" s="1"/>
  <c r="H10" i="1"/>
  <c r="H11" i="1" s="1"/>
  <c r="I10" i="1"/>
  <c r="I7" i="1"/>
  <c r="H7" i="1"/>
  <c r="F14" i="1"/>
  <c r="G14" i="1"/>
  <c r="F15" i="1"/>
  <c r="G15" i="1"/>
  <c r="G17" i="1" s="1"/>
  <c r="F16" i="1"/>
  <c r="G16" i="1"/>
  <c r="F13" i="1"/>
  <c r="F17" i="1" s="1"/>
  <c r="G13" i="1"/>
  <c r="G8" i="1"/>
  <c r="G9" i="1"/>
  <c r="G10" i="1"/>
  <c r="G7" i="1"/>
  <c r="F7" i="1"/>
  <c r="C21" i="1"/>
  <c r="C22" i="1"/>
  <c r="C19" i="1"/>
  <c r="C14" i="1"/>
  <c r="D14" i="1"/>
  <c r="E14" i="1"/>
  <c r="C15" i="1"/>
  <c r="D15" i="1"/>
  <c r="E15" i="1"/>
  <c r="E17" i="1" s="1"/>
  <c r="C16" i="1"/>
  <c r="D16" i="1"/>
  <c r="E16" i="1"/>
  <c r="E13" i="1"/>
  <c r="D13" i="1"/>
  <c r="C13" i="1"/>
  <c r="E8" i="1"/>
  <c r="E9" i="1"/>
  <c r="E10" i="1"/>
  <c r="E7" i="1"/>
  <c r="D8" i="1"/>
  <c r="D9" i="1"/>
  <c r="D10" i="1"/>
  <c r="D7" i="1"/>
  <c r="D19" i="1" s="1"/>
  <c r="E19" i="1" s="1"/>
  <c r="F19" i="1" s="1"/>
  <c r="G19" i="1" s="1"/>
  <c r="H19" i="1" s="1"/>
  <c r="C8" i="1"/>
  <c r="C20" i="1" s="1"/>
  <c r="D20" i="1" s="1"/>
  <c r="E20" i="1" s="1"/>
  <c r="F20" i="1" s="1"/>
  <c r="G20" i="1" s="1"/>
  <c r="H20" i="1" s="1"/>
  <c r="C9" i="1"/>
  <c r="C10" i="1"/>
  <c r="C7" i="1"/>
  <c r="X17" i="1"/>
  <c r="T17" i="1"/>
  <c r="L17" i="1"/>
  <c r="K17" i="1"/>
  <c r="C17" i="1"/>
  <c r="B16" i="1"/>
  <c r="B15" i="1"/>
  <c r="B14" i="1"/>
  <c r="Y17" i="1"/>
  <c r="W17" i="1"/>
  <c r="J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D32" i="2"/>
  <c r="C32" i="2"/>
  <c r="C31" i="2"/>
  <c r="C30" i="2"/>
  <c r="E25" i="2"/>
  <c r="F25" i="2" s="1"/>
  <c r="G25" i="2" s="1"/>
  <c r="H25" i="2" s="1"/>
  <c r="I25" i="2" s="1"/>
  <c r="J25" i="2" s="1"/>
  <c r="K25" i="2" s="1"/>
  <c r="L25" i="2" s="1"/>
  <c r="M25" i="2" s="1"/>
  <c r="N25" i="2" s="1"/>
  <c r="O25" i="2" s="1"/>
  <c r="P25" i="2" s="1"/>
  <c r="Q25" i="2" s="1"/>
  <c r="R25" i="2" s="1"/>
  <c r="S25" i="2" s="1"/>
  <c r="T25" i="2" s="1"/>
  <c r="U25" i="2" s="1"/>
  <c r="V25" i="2" s="1"/>
  <c r="W25" i="2" s="1"/>
  <c r="E26" i="2"/>
  <c r="F26" i="2" s="1"/>
  <c r="G26" i="2" s="1"/>
  <c r="H26" i="2" s="1"/>
  <c r="D26" i="2"/>
  <c r="D25" i="2"/>
  <c r="D24" i="2"/>
  <c r="E24" i="2" s="1"/>
  <c r="F24" i="2" s="1"/>
  <c r="G24" i="2" s="1"/>
  <c r="H24" i="2" s="1"/>
  <c r="I24" i="2" s="1"/>
  <c r="J24" i="2" s="1"/>
  <c r="K24" i="2" s="1"/>
  <c r="L24" i="2" s="1"/>
  <c r="M24" i="2" s="1"/>
  <c r="N24" i="2" s="1"/>
  <c r="O24" i="2" s="1"/>
  <c r="P24" i="2" s="1"/>
  <c r="Q24" i="2" s="1"/>
  <c r="R24" i="2" s="1"/>
  <c r="S24" i="2" s="1"/>
  <c r="T24" i="2" s="1"/>
  <c r="U24" i="2" s="1"/>
  <c r="V24" i="2" s="1"/>
  <c r="W24" i="2" s="1"/>
  <c r="C27" i="2"/>
  <c r="D27" i="2" s="1"/>
  <c r="E27" i="2" s="1"/>
  <c r="F27" i="2" s="1"/>
  <c r="G27" i="2" s="1"/>
  <c r="H27" i="2" s="1"/>
  <c r="I27" i="2" s="1"/>
  <c r="J27" i="2" s="1"/>
  <c r="K27" i="2" s="1"/>
  <c r="L27" i="2" s="1"/>
  <c r="M27" i="2" s="1"/>
  <c r="N27" i="2" s="1"/>
  <c r="O27" i="2" s="1"/>
  <c r="P27" i="2" s="1"/>
  <c r="Q27" i="2" s="1"/>
  <c r="R27" i="2" s="1"/>
  <c r="S27" i="2" s="1"/>
  <c r="T27" i="2" s="1"/>
  <c r="U27" i="2" s="1"/>
  <c r="V27" i="2" s="1"/>
  <c r="W27" i="2" s="1"/>
  <c r="B27" i="2"/>
  <c r="C26" i="2"/>
  <c r="B26" i="2"/>
  <c r="C25" i="2"/>
  <c r="B25" i="2"/>
  <c r="C24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D43" i="50"/>
  <c r="C43" i="50"/>
  <c r="B43" i="50"/>
  <c r="D41" i="50"/>
  <c r="D40" i="50"/>
  <c r="C40" i="50"/>
  <c r="D46" i="50" s="1"/>
  <c r="B40" i="50"/>
  <c r="D39" i="50"/>
  <c r="C39" i="50"/>
  <c r="D45" i="50" s="1"/>
  <c r="B39" i="50"/>
  <c r="D38" i="50"/>
  <c r="C38" i="50"/>
  <c r="D44" i="50" s="1"/>
  <c r="B38" i="50"/>
  <c r="D37" i="50"/>
  <c r="C37" i="50"/>
  <c r="C41" i="50" s="1"/>
  <c r="E41" i="50" s="1"/>
  <c r="B37" i="50"/>
  <c r="C33" i="50"/>
  <c r="B33" i="50"/>
  <c r="C32" i="50"/>
  <c r="B32" i="50"/>
  <c r="B31" i="50"/>
  <c r="B30" i="50"/>
  <c r="C27" i="50"/>
  <c r="D27" i="50" s="1"/>
  <c r="E27" i="50" s="1"/>
  <c r="F27" i="50" s="1"/>
  <c r="G27" i="50" s="1"/>
  <c r="H27" i="50" s="1"/>
  <c r="I27" i="50" s="1"/>
  <c r="J27" i="50" s="1"/>
  <c r="K27" i="50" s="1"/>
  <c r="L27" i="50" s="1"/>
  <c r="M27" i="50" s="1"/>
  <c r="N27" i="50" s="1"/>
  <c r="O27" i="50" s="1"/>
  <c r="P27" i="50" s="1"/>
  <c r="B27" i="50"/>
  <c r="D26" i="50"/>
  <c r="E26" i="50" s="1"/>
  <c r="F26" i="50" s="1"/>
  <c r="G26" i="50" s="1"/>
  <c r="H26" i="50" s="1"/>
  <c r="I26" i="50" s="1"/>
  <c r="J26" i="50" s="1"/>
  <c r="K26" i="50" s="1"/>
  <c r="L26" i="50" s="1"/>
  <c r="M26" i="50" s="1"/>
  <c r="N26" i="50" s="1"/>
  <c r="O26" i="50" s="1"/>
  <c r="P26" i="50" s="1"/>
  <c r="C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C16" i="50"/>
  <c r="C15" i="50"/>
  <c r="D15" i="50" s="1"/>
  <c r="B15" i="50"/>
  <c r="C14" i="50"/>
  <c r="D14" i="50" s="1"/>
  <c r="B14" i="50"/>
  <c r="D13" i="50"/>
  <c r="C13" i="50"/>
  <c r="B13" i="50"/>
  <c r="C12" i="50"/>
  <c r="C30" i="50" s="1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 s="1"/>
  <c r="F4" i="50" s="1"/>
  <c r="G4" i="50" s="1"/>
  <c r="H4" i="50" s="1"/>
  <c r="I4" i="50" s="1"/>
  <c r="J4" i="50" s="1"/>
  <c r="K4" i="50" s="1"/>
  <c r="L4" i="50" s="1"/>
  <c r="M4" i="50" s="1"/>
  <c r="N4" i="50" s="1"/>
  <c r="O4" i="50" s="1"/>
  <c r="P4" i="50" s="1"/>
  <c r="C4" i="50"/>
  <c r="B46" i="49"/>
  <c r="B45" i="49"/>
  <c r="C44" i="49"/>
  <c r="B44" i="49"/>
  <c r="B43" i="49"/>
  <c r="D41" i="49"/>
  <c r="D40" i="49"/>
  <c r="D46" i="49" s="1"/>
  <c r="C40" i="49"/>
  <c r="C46" i="49" s="1"/>
  <c r="B40" i="49"/>
  <c r="D39" i="49"/>
  <c r="C39" i="49"/>
  <c r="D45" i="49" s="1"/>
  <c r="B39" i="49"/>
  <c r="D38" i="49"/>
  <c r="E38" i="49" s="1"/>
  <c r="C38" i="49"/>
  <c r="D44" i="49" s="1"/>
  <c r="B38" i="49"/>
  <c r="D37" i="49"/>
  <c r="C37" i="49"/>
  <c r="C41" i="49" s="1"/>
  <c r="E41" i="49" s="1"/>
  <c r="B37" i="49"/>
  <c r="B33" i="49"/>
  <c r="B32" i="49"/>
  <c r="B31" i="49"/>
  <c r="B30" i="49"/>
  <c r="C27" i="49"/>
  <c r="D27" i="49" s="1"/>
  <c r="E27" i="49" s="1"/>
  <c r="F27" i="49" s="1"/>
  <c r="G27" i="49" s="1"/>
  <c r="H27" i="49" s="1"/>
  <c r="I27" i="49" s="1"/>
  <c r="J27" i="49" s="1"/>
  <c r="K27" i="49" s="1"/>
  <c r="L27" i="49" s="1"/>
  <c r="M27" i="49" s="1"/>
  <c r="N27" i="49" s="1"/>
  <c r="O27" i="49" s="1"/>
  <c r="P27" i="49" s="1"/>
  <c r="B27" i="49"/>
  <c r="C26" i="49"/>
  <c r="D26" i="49" s="1"/>
  <c r="E26" i="49" s="1"/>
  <c r="F26" i="49" s="1"/>
  <c r="G26" i="49" s="1"/>
  <c r="H26" i="49" s="1"/>
  <c r="I26" i="49" s="1"/>
  <c r="J26" i="49" s="1"/>
  <c r="K26" i="49" s="1"/>
  <c r="L26" i="49" s="1"/>
  <c r="M26" i="49" s="1"/>
  <c r="N26" i="49" s="1"/>
  <c r="O26" i="49" s="1"/>
  <c r="P26" i="49" s="1"/>
  <c r="B26" i="49"/>
  <c r="C25" i="49"/>
  <c r="C31" i="49" s="1"/>
  <c r="B25" i="49"/>
  <c r="D24" i="49"/>
  <c r="E24" i="49" s="1"/>
  <c r="C24" i="49"/>
  <c r="C28" i="49" s="1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 s="1"/>
  <c r="B15" i="49"/>
  <c r="E14" i="49"/>
  <c r="C14" i="49"/>
  <c r="D14" i="49" s="1"/>
  <c r="D32" i="49" s="1"/>
  <c r="B14" i="49"/>
  <c r="D13" i="49"/>
  <c r="C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L4" i="49"/>
  <c r="M4" i="49" s="1"/>
  <c r="N4" i="49" s="1"/>
  <c r="O4" i="49" s="1"/>
  <c r="P4" i="49" s="1"/>
  <c r="D4" i="49"/>
  <c r="E4" i="49" s="1"/>
  <c r="F4" i="49" s="1"/>
  <c r="G4" i="49" s="1"/>
  <c r="H4" i="49" s="1"/>
  <c r="I4" i="49" s="1"/>
  <c r="J4" i="49" s="1"/>
  <c r="K4" i="49" s="1"/>
  <c r="C4" i="49"/>
  <c r="B46" i="48"/>
  <c r="B45" i="48"/>
  <c r="B44" i="48"/>
  <c r="B43" i="48"/>
  <c r="D41" i="48"/>
  <c r="D40" i="48"/>
  <c r="C40" i="48"/>
  <c r="C46" i="48" s="1"/>
  <c r="B40" i="48"/>
  <c r="D39" i="48"/>
  <c r="C39" i="48"/>
  <c r="B39" i="48"/>
  <c r="D38" i="48"/>
  <c r="C38" i="48"/>
  <c r="D44" i="48" s="1"/>
  <c r="B38" i="48"/>
  <c r="D37" i="48"/>
  <c r="C37" i="48"/>
  <c r="B37" i="48"/>
  <c r="B33" i="48"/>
  <c r="B32" i="48"/>
  <c r="B31" i="48"/>
  <c r="B30" i="48"/>
  <c r="C27" i="48"/>
  <c r="D27" i="48" s="1"/>
  <c r="E27" i="48" s="1"/>
  <c r="F27" i="48" s="1"/>
  <c r="G27" i="48" s="1"/>
  <c r="H27" i="48" s="1"/>
  <c r="I27" i="48" s="1"/>
  <c r="J27" i="48" s="1"/>
  <c r="K27" i="48" s="1"/>
  <c r="L27" i="48" s="1"/>
  <c r="M27" i="48" s="1"/>
  <c r="N27" i="48" s="1"/>
  <c r="O27" i="48" s="1"/>
  <c r="P27" i="48" s="1"/>
  <c r="B27" i="48"/>
  <c r="C26" i="48"/>
  <c r="D26" i="48" s="1"/>
  <c r="E26" i="48" s="1"/>
  <c r="F26" i="48" s="1"/>
  <c r="G26" i="48" s="1"/>
  <c r="H26" i="48" s="1"/>
  <c r="I26" i="48" s="1"/>
  <c r="J26" i="48" s="1"/>
  <c r="K26" i="48" s="1"/>
  <c r="L26" i="48" s="1"/>
  <c r="M26" i="48" s="1"/>
  <c r="N26" i="48" s="1"/>
  <c r="O26" i="48" s="1"/>
  <c r="P26" i="48" s="1"/>
  <c r="B26" i="48"/>
  <c r="H25" i="48"/>
  <c r="I25" i="48" s="1"/>
  <c r="J25" i="48" s="1"/>
  <c r="K25" i="48" s="1"/>
  <c r="L25" i="48" s="1"/>
  <c r="M25" i="48" s="1"/>
  <c r="N25" i="48" s="1"/>
  <c r="O25" i="48" s="1"/>
  <c r="P25" i="48" s="1"/>
  <c r="C25" i="48"/>
  <c r="D25" i="48" s="1"/>
  <c r="E25" i="48" s="1"/>
  <c r="F25" i="48" s="1"/>
  <c r="G25" i="48" s="1"/>
  <c r="B25" i="48"/>
  <c r="C24" i="48"/>
  <c r="C28" i="48" s="1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 s="1"/>
  <c r="B15" i="48"/>
  <c r="E14" i="48"/>
  <c r="E32" i="48" s="1"/>
  <c r="C14" i="48"/>
  <c r="D14" i="48" s="1"/>
  <c r="B14" i="48"/>
  <c r="D13" i="48"/>
  <c r="D31" i="48" s="1"/>
  <c r="C13" i="48"/>
  <c r="B13" i="48"/>
  <c r="D12" i="48"/>
  <c r="C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 s="1"/>
  <c r="F4" i="48" s="1"/>
  <c r="G4" i="48" s="1"/>
  <c r="H4" i="48" s="1"/>
  <c r="I4" i="48" s="1"/>
  <c r="J4" i="48" s="1"/>
  <c r="K4" i="48" s="1"/>
  <c r="L4" i="48" s="1"/>
  <c r="M4" i="48" s="1"/>
  <c r="N4" i="48" s="1"/>
  <c r="O4" i="48" s="1"/>
  <c r="P4" i="48" s="1"/>
  <c r="C4" i="48"/>
  <c r="B46" i="47"/>
  <c r="C45" i="47"/>
  <c r="B45" i="47"/>
  <c r="B44" i="47"/>
  <c r="C43" i="47"/>
  <c r="B43" i="47"/>
  <c r="D40" i="47"/>
  <c r="C40" i="47"/>
  <c r="E40" i="47" s="1"/>
  <c r="B40" i="47"/>
  <c r="D39" i="47"/>
  <c r="E39" i="47" s="1"/>
  <c r="C39" i="47"/>
  <c r="B39" i="47"/>
  <c r="D38" i="47"/>
  <c r="C38" i="47"/>
  <c r="D44" i="47" s="1"/>
  <c r="B38" i="47"/>
  <c r="D37" i="47"/>
  <c r="E37" i="47" s="1"/>
  <c r="C37" i="47"/>
  <c r="C41" i="47" s="1"/>
  <c r="B37" i="47"/>
  <c r="B33" i="47"/>
  <c r="B32" i="47"/>
  <c r="B31" i="47"/>
  <c r="B30" i="47"/>
  <c r="C27" i="47"/>
  <c r="C33" i="47" s="1"/>
  <c r="B27" i="47"/>
  <c r="C26" i="47"/>
  <c r="D26" i="47" s="1"/>
  <c r="B26" i="47"/>
  <c r="C25" i="47"/>
  <c r="C31" i="47" s="1"/>
  <c r="B25" i="47"/>
  <c r="C24" i="47"/>
  <c r="C28" i="47" s="1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C16" i="47"/>
  <c r="C15" i="47"/>
  <c r="D15" i="47" s="1"/>
  <c r="B15" i="47"/>
  <c r="F14" i="47"/>
  <c r="E14" i="47"/>
  <c r="D14" i="47"/>
  <c r="C14" i="47"/>
  <c r="B14" i="47"/>
  <c r="E13" i="47"/>
  <c r="D13" i="47"/>
  <c r="C13" i="47"/>
  <c r="B13" i="47"/>
  <c r="D12" i="47"/>
  <c r="C12" i="47"/>
  <c r="C30" i="47" s="1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C4" i="47"/>
  <c r="D4" i="47" s="1"/>
  <c r="E4" i="47" s="1"/>
  <c r="F4" i="47" s="1"/>
  <c r="G4" i="47" s="1"/>
  <c r="H4" i="47" s="1"/>
  <c r="I4" i="47" s="1"/>
  <c r="J4" i="47" s="1"/>
  <c r="K4" i="47" s="1"/>
  <c r="L4" i="47" s="1"/>
  <c r="M4" i="47" s="1"/>
  <c r="N4" i="47" s="1"/>
  <c r="O4" i="47" s="1"/>
  <c r="P4" i="47" s="1"/>
  <c r="B46" i="46"/>
  <c r="B45" i="46"/>
  <c r="B44" i="46"/>
  <c r="C43" i="46"/>
  <c r="B43" i="46"/>
  <c r="D41" i="46"/>
  <c r="D40" i="46"/>
  <c r="C40" i="46"/>
  <c r="E40" i="46" s="1"/>
  <c r="B40" i="46"/>
  <c r="D39" i="46"/>
  <c r="C39" i="46"/>
  <c r="D45" i="46" s="1"/>
  <c r="B39" i="46"/>
  <c r="D38" i="46"/>
  <c r="C38" i="46"/>
  <c r="D44" i="46" s="1"/>
  <c r="B38" i="46"/>
  <c r="D37" i="46"/>
  <c r="C37" i="46"/>
  <c r="C41" i="46" s="1"/>
  <c r="E41" i="46" s="1"/>
  <c r="B37" i="46"/>
  <c r="C33" i="46"/>
  <c r="B33" i="46"/>
  <c r="C32" i="46"/>
  <c r="B32" i="46"/>
  <c r="B31" i="46"/>
  <c r="B30" i="46"/>
  <c r="C27" i="46"/>
  <c r="D27" i="46" s="1"/>
  <c r="E27" i="46" s="1"/>
  <c r="F27" i="46" s="1"/>
  <c r="G27" i="46" s="1"/>
  <c r="H27" i="46" s="1"/>
  <c r="I27" i="46" s="1"/>
  <c r="J27" i="46" s="1"/>
  <c r="K27" i="46" s="1"/>
  <c r="L27" i="46" s="1"/>
  <c r="M27" i="46" s="1"/>
  <c r="N27" i="46" s="1"/>
  <c r="O27" i="46" s="1"/>
  <c r="P27" i="46" s="1"/>
  <c r="B27" i="46"/>
  <c r="D26" i="46"/>
  <c r="D32" i="46" s="1"/>
  <c r="C26" i="46"/>
  <c r="B26" i="46"/>
  <c r="C25" i="46"/>
  <c r="D25" i="46" s="1"/>
  <c r="E25" i="46" s="1"/>
  <c r="F25" i="46" s="1"/>
  <c r="G25" i="46" s="1"/>
  <c r="H25" i="46" s="1"/>
  <c r="I25" i="46" s="1"/>
  <c r="J25" i="46" s="1"/>
  <c r="K25" i="46" s="1"/>
  <c r="L25" i="46" s="1"/>
  <c r="M25" i="46" s="1"/>
  <c r="N25" i="46" s="1"/>
  <c r="O25" i="46" s="1"/>
  <c r="P25" i="46" s="1"/>
  <c r="B25" i="46"/>
  <c r="C24" i="46"/>
  <c r="C28" i="46" s="1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6" i="46"/>
  <c r="C15" i="46"/>
  <c r="D15" i="46" s="1"/>
  <c r="B15" i="46"/>
  <c r="E14" i="46"/>
  <c r="D14" i="46"/>
  <c r="C14" i="46"/>
  <c r="B14" i="46"/>
  <c r="D13" i="46"/>
  <c r="D31" i="46" s="1"/>
  <c r="C13" i="46"/>
  <c r="B13" i="46"/>
  <c r="C12" i="46"/>
  <c r="C30" i="46" s="1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 s="1"/>
  <c r="F4" i="46" s="1"/>
  <c r="G4" i="46" s="1"/>
  <c r="H4" i="46" s="1"/>
  <c r="I4" i="46" s="1"/>
  <c r="J4" i="46" s="1"/>
  <c r="K4" i="46" s="1"/>
  <c r="L4" i="46" s="1"/>
  <c r="M4" i="46" s="1"/>
  <c r="N4" i="46" s="1"/>
  <c r="O4" i="46" s="1"/>
  <c r="P4" i="46" s="1"/>
  <c r="C4" i="46"/>
  <c r="B46" i="45"/>
  <c r="B45" i="45"/>
  <c r="B44" i="45"/>
  <c r="C43" i="45"/>
  <c r="B43" i="45"/>
  <c r="D41" i="45"/>
  <c r="D40" i="45"/>
  <c r="C40" i="45"/>
  <c r="D46" i="45" s="1"/>
  <c r="B40" i="45"/>
  <c r="D39" i="45"/>
  <c r="C39" i="45"/>
  <c r="D45" i="45" s="1"/>
  <c r="B39" i="45"/>
  <c r="D38" i="45"/>
  <c r="C38" i="45"/>
  <c r="D44" i="45" s="1"/>
  <c r="B38" i="45"/>
  <c r="D37" i="45"/>
  <c r="C37" i="45"/>
  <c r="C41" i="45" s="1"/>
  <c r="E41" i="45" s="1"/>
  <c r="B37" i="45"/>
  <c r="C33" i="45"/>
  <c r="B33" i="45"/>
  <c r="C32" i="45"/>
  <c r="B32" i="45"/>
  <c r="B31" i="45"/>
  <c r="B30" i="45"/>
  <c r="C27" i="45"/>
  <c r="D27" i="45" s="1"/>
  <c r="E27" i="45" s="1"/>
  <c r="F27" i="45" s="1"/>
  <c r="G27" i="45" s="1"/>
  <c r="H27" i="45" s="1"/>
  <c r="I27" i="45" s="1"/>
  <c r="J27" i="45" s="1"/>
  <c r="K27" i="45" s="1"/>
  <c r="L27" i="45" s="1"/>
  <c r="M27" i="45" s="1"/>
  <c r="N27" i="45" s="1"/>
  <c r="O27" i="45" s="1"/>
  <c r="P27" i="45" s="1"/>
  <c r="B27" i="45"/>
  <c r="D26" i="45"/>
  <c r="E26" i="45" s="1"/>
  <c r="F26" i="45" s="1"/>
  <c r="G26" i="45" s="1"/>
  <c r="H26" i="45" s="1"/>
  <c r="I26" i="45" s="1"/>
  <c r="J26" i="45" s="1"/>
  <c r="K26" i="45" s="1"/>
  <c r="L26" i="45" s="1"/>
  <c r="M26" i="45" s="1"/>
  <c r="N26" i="45" s="1"/>
  <c r="O26" i="45" s="1"/>
  <c r="P26" i="45" s="1"/>
  <c r="C26" i="45"/>
  <c r="B26" i="45"/>
  <c r="C25" i="45"/>
  <c r="C31" i="45" s="1"/>
  <c r="B25" i="45"/>
  <c r="C24" i="45"/>
  <c r="C28" i="45" s="1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C16" i="45"/>
  <c r="C15" i="45"/>
  <c r="D15" i="45" s="1"/>
  <c r="B15" i="45"/>
  <c r="C14" i="45"/>
  <c r="D14" i="45" s="1"/>
  <c r="B14" i="45"/>
  <c r="D13" i="45"/>
  <c r="C13" i="45"/>
  <c r="B13" i="45"/>
  <c r="C12" i="45"/>
  <c r="C30" i="45" s="1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G4" i="45"/>
  <c r="H4" i="45" s="1"/>
  <c r="I4" i="45" s="1"/>
  <c r="J4" i="45" s="1"/>
  <c r="K4" i="45" s="1"/>
  <c r="L4" i="45" s="1"/>
  <c r="M4" i="45" s="1"/>
  <c r="N4" i="45" s="1"/>
  <c r="O4" i="45" s="1"/>
  <c r="P4" i="45" s="1"/>
  <c r="D4" i="45"/>
  <c r="E4" i="45" s="1"/>
  <c r="F4" i="45" s="1"/>
  <c r="C4" i="45"/>
  <c r="B46" i="44"/>
  <c r="B45" i="44"/>
  <c r="B44" i="44"/>
  <c r="B43" i="44"/>
  <c r="D41" i="44"/>
  <c r="D40" i="44"/>
  <c r="D46" i="44" s="1"/>
  <c r="C40" i="44"/>
  <c r="E40" i="44" s="1"/>
  <c r="B40" i="44"/>
  <c r="D39" i="44"/>
  <c r="C39" i="44"/>
  <c r="D45" i="44" s="1"/>
  <c r="B39" i="44"/>
  <c r="D38" i="44"/>
  <c r="C38" i="44"/>
  <c r="D44" i="44" s="1"/>
  <c r="B38" i="44"/>
  <c r="D37" i="44"/>
  <c r="C37" i="44"/>
  <c r="C41" i="44" s="1"/>
  <c r="E41" i="44" s="1"/>
  <c r="B37" i="44"/>
  <c r="B33" i="44"/>
  <c r="B32" i="44"/>
  <c r="B31" i="44"/>
  <c r="B30" i="44"/>
  <c r="C27" i="44"/>
  <c r="D27" i="44" s="1"/>
  <c r="E27" i="44" s="1"/>
  <c r="F27" i="44" s="1"/>
  <c r="G27" i="44" s="1"/>
  <c r="H27" i="44" s="1"/>
  <c r="I27" i="44" s="1"/>
  <c r="J27" i="44" s="1"/>
  <c r="K27" i="44" s="1"/>
  <c r="L27" i="44" s="1"/>
  <c r="M27" i="44" s="1"/>
  <c r="N27" i="44" s="1"/>
  <c r="O27" i="44" s="1"/>
  <c r="P27" i="44" s="1"/>
  <c r="B27" i="44"/>
  <c r="C26" i="44"/>
  <c r="D26" i="44" s="1"/>
  <c r="B26" i="44"/>
  <c r="C25" i="44"/>
  <c r="C31" i="44" s="1"/>
  <c r="B25" i="44"/>
  <c r="D24" i="44"/>
  <c r="E24" i="44" s="1"/>
  <c r="C24" i="44"/>
  <c r="C28" i="44" s="1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 s="1"/>
  <c r="B15" i="44"/>
  <c r="E14" i="44"/>
  <c r="D14" i="44"/>
  <c r="C14" i="44"/>
  <c r="C32" i="44" s="1"/>
  <c r="B14" i="44"/>
  <c r="D13" i="44"/>
  <c r="C13" i="44"/>
  <c r="B13" i="44"/>
  <c r="C12" i="44"/>
  <c r="C16" i="44" s="1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C4" i="44"/>
  <c r="B46" i="43"/>
  <c r="B45" i="43"/>
  <c r="B44" i="43"/>
  <c r="C43" i="43"/>
  <c r="B43" i="43"/>
  <c r="D41" i="43"/>
  <c r="D40" i="43"/>
  <c r="C40" i="43"/>
  <c r="D46" i="43" s="1"/>
  <c r="B40" i="43"/>
  <c r="D39" i="43"/>
  <c r="C39" i="43"/>
  <c r="D45" i="43" s="1"/>
  <c r="B39" i="43"/>
  <c r="D38" i="43"/>
  <c r="C38" i="43"/>
  <c r="D44" i="43" s="1"/>
  <c r="B38" i="43"/>
  <c r="D37" i="43"/>
  <c r="C37" i="43"/>
  <c r="C41" i="43" s="1"/>
  <c r="E41" i="43" s="1"/>
  <c r="B37" i="43"/>
  <c r="C33" i="43"/>
  <c r="B33" i="43"/>
  <c r="C32" i="43"/>
  <c r="B32" i="43"/>
  <c r="B31" i="43"/>
  <c r="B30" i="43"/>
  <c r="C27" i="43"/>
  <c r="D27" i="43" s="1"/>
  <c r="E27" i="43" s="1"/>
  <c r="F27" i="43" s="1"/>
  <c r="G27" i="43" s="1"/>
  <c r="H27" i="43" s="1"/>
  <c r="I27" i="43" s="1"/>
  <c r="J27" i="43" s="1"/>
  <c r="K27" i="43" s="1"/>
  <c r="L27" i="43" s="1"/>
  <c r="M27" i="43" s="1"/>
  <c r="N27" i="43" s="1"/>
  <c r="O27" i="43" s="1"/>
  <c r="P27" i="43" s="1"/>
  <c r="B27" i="43"/>
  <c r="D26" i="43"/>
  <c r="E26" i="43" s="1"/>
  <c r="F26" i="43" s="1"/>
  <c r="G26" i="43" s="1"/>
  <c r="H26" i="43" s="1"/>
  <c r="I26" i="43" s="1"/>
  <c r="J26" i="43" s="1"/>
  <c r="K26" i="43" s="1"/>
  <c r="L26" i="43" s="1"/>
  <c r="M26" i="43" s="1"/>
  <c r="N26" i="43" s="1"/>
  <c r="O26" i="43" s="1"/>
  <c r="P26" i="43" s="1"/>
  <c r="C26" i="43"/>
  <c r="B26" i="43"/>
  <c r="C25" i="43"/>
  <c r="C31" i="43" s="1"/>
  <c r="B25" i="43"/>
  <c r="C24" i="43"/>
  <c r="C28" i="43" s="1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6" i="43"/>
  <c r="C15" i="43"/>
  <c r="D15" i="43" s="1"/>
  <c r="B15" i="43"/>
  <c r="C14" i="43"/>
  <c r="D14" i="43" s="1"/>
  <c r="B14" i="43"/>
  <c r="D13" i="43"/>
  <c r="C13" i="43"/>
  <c r="B13" i="43"/>
  <c r="C12" i="43"/>
  <c r="C30" i="43" s="1"/>
  <c r="C34" i="43" s="1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9" i="43"/>
  <c r="B8" i="43"/>
  <c r="B7" i="43"/>
  <c r="B6" i="43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C4" i="43"/>
  <c r="B46" i="42"/>
  <c r="B45" i="42"/>
  <c r="B44" i="42"/>
  <c r="C43" i="42"/>
  <c r="B43" i="42"/>
  <c r="D41" i="42"/>
  <c r="D40" i="42"/>
  <c r="C40" i="42"/>
  <c r="E40" i="42" s="1"/>
  <c r="B40" i="42"/>
  <c r="D39" i="42"/>
  <c r="C39" i="42"/>
  <c r="D45" i="42" s="1"/>
  <c r="B39" i="42"/>
  <c r="D38" i="42"/>
  <c r="C38" i="42"/>
  <c r="D44" i="42" s="1"/>
  <c r="B38" i="42"/>
  <c r="D37" i="42"/>
  <c r="C37" i="42"/>
  <c r="C41" i="42" s="1"/>
  <c r="E41" i="42" s="1"/>
  <c r="B37" i="42"/>
  <c r="C33" i="42"/>
  <c r="B33" i="42"/>
  <c r="C32" i="42"/>
  <c r="B32" i="42"/>
  <c r="B31" i="42"/>
  <c r="B30" i="42"/>
  <c r="C27" i="42"/>
  <c r="D27" i="42" s="1"/>
  <c r="E27" i="42" s="1"/>
  <c r="F27" i="42" s="1"/>
  <c r="G27" i="42" s="1"/>
  <c r="H27" i="42" s="1"/>
  <c r="I27" i="42" s="1"/>
  <c r="J27" i="42" s="1"/>
  <c r="K27" i="42" s="1"/>
  <c r="L27" i="42" s="1"/>
  <c r="M27" i="42" s="1"/>
  <c r="N27" i="42" s="1"/>
  <c r="O27" i="42" s="1"/>
  <c r="P27" i="42" s="1"/>
  <c r="B27" i="42"/>
  <c r="D26" i="42"/>
  <c r="D32" i="42" s="1"/>
  <c r="C26" i="42"/>
  <c r="B26" i="42"/>
  <c r="C25" i="42"/>
  <c r="D25" i="42" s="1"/>
  <c r="E25" i="42" s="1"/>
  <c r="F25" i="42" s="1"/>
  <c r="G25" i="42" s="1"/>
  <c r="H25" i="42" s="1"/>
  <c r="I25" i="42" s="1"/>
  <c r="J25" i="42" s="1"/>
  <c r="K25" i="42" s="1"/>
  <c r="L25" i="42" s="1"/>
  <c r="M25" i="42" s="1"/>
  <c r="N25" i="42" s="1"/>
  <c r="O25" i="42" s="1"/>
  <c r="P25" i="42" s="1"/>
  <c r="B25" i="42"/>
  <c r="C24" i="42"/>
  <c r="C28" i="42" s="1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6" i="42"/>
  <c r="C15" i="42"/>
  <c r="D15" i="42" s="1"/>
  <c r="B15" i="42"/>
  <c r="E14" i="42"/>
  <c r="D14" i="42"/>
  <c r="C14" i="42"/>
  <c r="B14" i="42"/>
  <c r="D13" i="42"/>
  <c r="C13" i="42"/>
  <c r="B13" i="42"/>
  <c r="C12" i="42"/>
  <c r="C30" i="42" s="1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C4" i="42"/>
  <c r="C38" i="15"/>
  <c r="D44" i="15" s="1"/>
  <c r="D38" i="15"/>
  <c r="C39" i="15"/>
  <c r="D45" i="15" s="1"/>
  <c r="D39" i="15"/>
  <c r="C40" i="15"/>
  <c r="C46" i="15" s="1"/>
  <c r="D40" i="15"/>
  <c r="D46" i="15" s="1"/>
  <c r="D37" i="15"/>
  <c r="C37" i="15"/>
  <c r="C33" i="15"/>
  <c r="C32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B2" i="43"/>
  <c r="B2" i="42"/>
  <c r="E32" i="2" l="1"/>
  <c r="D17" i="1"/>
  <c r="D22" i="1" s="1"/>
  <c r="E22" i="1" s="1"/>
  <c r="D21" i="1"/>
  <c r="E21" i="1" s="1"/>
  <c r="F21" i="1" s="1"/>
  <c r="G21" i="1" s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V17" i="1"/>
  <c r="R17" i="1"/>
  <c r="I19" i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I20" i="1"/>
  <c r="J20" i="1" s="1"/>
  <c r="K20" i="1" s="1"/>
  <c r="L20" i="1" s="1"/>
  <c r="M20" i="1" s="1"/>
  <c r="N20" i="1" s="1"/>
  <c r="O20" i="1" s="1"/>
  <c r="P20" i="1" s="1"/>
  <c r="Q20" i="1" s="1"/>
  <c r="R20" i="1" s="1"/>
  <c r="S20" i="1" s="1"/>
  <c r="T20" i="1" s="1"/>
  <c r="U20" i="1" s="1"/>
  <c r="V20" i="1" s="1"/>
  <c r="W20" i="1" s="1"/>
  <c r="X20" i="1" s="1"/>
  <c r="Y20" i="1" s="1"/>
  <c r="F22" i="1"/>
  <c r="G22" i="1" s="1"/>
  <c r="H22" i="1" s="1"/>
  <c r="I22" i="1" s="1"/>
  <c r="J22" i="1" s="1"/>
  <c r="K22" i="1" s="1"/>
  <c r="L22" i="1" s="1"/>
  <c r="M22" i="1" s="1"/>
  <c r="N22" i="1" s="1"/>
  <c r="O22" i="1" s="1"/>
  <c r="P22" i="1" s="1"/>
  <c r="Q22" i="1" s="1"/>
  <c r="R22" i="1" s="1"/>
  <c r="S22" i="1" s="1"/>
  <c r="T22" i="1" s="1"/>
  <c r="U22" i="1" s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 s="1"/>
  <c r="D25" i="50"/>
  <c r="E25" i="50" s="1"/>
  <c r="F25" i="50" s="1"/>
  <c r="G25" i="50" s="1"/>
  <c r="H25" i="50" s="1"/>
  <c r="I25" i="50" s="1"/>
  <c r="J25" i="50" s="1"/>
  <c r="K25" i="50" s="1"/>
  <c r="L25" i="50" s="1"/>
  <c r="M25" i="50" s="1"/>
  <c r="N25" i="50" s="1"/>
  <c r="O25" i="50" s="1"/>
  <c r="P25" i="50" s="1"/>
  <c r="D32" i="50"/>
  <c r="E14" i="50"/>
  <c r="C28" i="50"/>
  <c r="D12" i="50"/>
  <c r="E13" i="50"/>
  <c r="C45" i="50"/>
  <c r="E37" i="50"/>
  <c r="E39" i="50"/>
  <c r="D24" i="50"/>
  <c r="E38" i="50"/>
  <c r="E40" i="50"/>
  <c r="C44" i="50"/>
  <c r="C47" i="50" s="1"/>
  <c r="C46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7" i="49" s="1"/>
  <c r="D25" i="49"/>
  <c r="C32" i="49"/>
  <c r="D43" i="49"/>
  <c r="D47" i="49" s="1"/>
  <c r="E40" i="49"/>
  <c r="C45" i="49"/>
  <c r="E12" i="48"/>
  <c r="D16" i="48"/>
  <c r="C41" i="48"/>
  <c r="E41" i="48" s="1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F32" i="47"/>
  <c r="E15" i="47"/>
  <c r="D33" i="47"/>
  <c r="D30" i="47"/>
  <c r="D32" i="47"/>
  <c r="E26" i="47"/>
  <c r="F26" i="47" s="1"/>
  <c r="G26" i="47" s="1"/>
  <c r="H26" i="47" s="1"/>
  <c r="I26" i="47" s="1"/>
  <c r="J26" i="47" s="1"/>
  <c r="K26" i="47" s="1"/>
  <c r="L26" i="47" s="1"/>
  <c r="M26" i="47" s="1"/>
  <c r="N26" i="47" s="1"/>
  <c r="O26" i="47" s="1"/>
  <c r="P26" i="47" s="1"/>
  <c r="E41" i="47"/>
  <c r="F13" i="47"/>
  <c r="D45" i="47"/>
  <c r="D16" i="47"/>
  <c r="D25" i="47"/>
  <c r="E25" i="47" s="1"/>
  <c r="F25" i="47" s="1"/>
  <c r="G25" i="47" s="1"/>
  <c r="H25" i="47" s="1"/>
  <c r="I25" i="47" s="1"/>
  <c r="J25" i="47" s="1"/>
  <c r="K25" i="47" s="1"/>
  <c r="L25" i="47" s="1"/>
  <c r="M25" i="47" s="1"/>
  <c r="N25" i="47" s="1"/>
  <c r="O25" i="47" s="1"/>
  <c r="P25" i="47" s="1"/>
  <c r="C46" i="47"/>
  <c r="D41" i="47"/>
  <c r="C32" i="47"/>
  <c r="C34" i="47" s="1"/>
  <c r="D43" i="47"/>
  <c r="D46" i="47"/>
  <c r="E38" i="47"/>
  <c r="C44" i="47"/>
  <c r="C47" i="47" s="1"/>
  <c r="E12" i="47"/>
  <c r="G14" i="47"/>
  <c r="D27" i="47"/>
  <c r="E27" i="47" s="1"/>
  <c r="F27" i="47" s="1"/>
  <c r="G27" i="47" s="1"/>
  <c r="H27" i="47" s="1"/>
  <c r="I27" i="47" s="1"/>
  <c r="J27" i="47" s="1"/>
  <c r="K27" i="47" s="1"/>
  <c r="L27" i="47" s="1"/>
  <c r="M27" i="47" s="1"/>
  <c r="N27" i="47" s="1"/>
  <c r="O27" i="47" s="1"/>
  <c r="P27" i="47" s="1"/>
  <c r="D24" i="47"/>
  <c r="E15" i="46"/>
  <c r="D33" i="46"/>
  <c r="E32" i="46"/>
  <c r="D12" i="46"/>
  <c r="E13" i="46"/>
  <c r="F14" i="46"/>
  <c r="C45" i="46"/>
  <c r="E37" i="46"/>
  <c r="E39" i="46"/>
  <c r="E26" i="46"/>
  <c r="F26" i="46" s="1"/>
  <c r="G26" i="46" s="1"/>
  <c r="H26" i="46" s="1"/>
  <c r="I26" i="46" s="1"/>
  <c r="J26" i="46" s="1"/>
  <c r="K26" i="46" s="1"/>
  <c r="L26" i="46" s="1"/>
  <c r="M26" i="46" s="1"/>
  <c r="N26" i="46" s="1"/>
  <c r="O26" i="46" s="1"/>
  <c r="P26" i="46" s="1"/>
  <c r="C46" i="46"/>
  <c r="C47" i="46" s="1"/>
  <c r="D24" i="46"/>
  <c r="C31" i="46"/>
  <c r="C34" i="46" s="1"/>
  <c r="D46" i="46"/>
  <c r="E38" i="46"/>
  <c r="C44" i="46"/>
  <c r="D43" i="46"/>
  <c r="E15" i="45"/>
  <c r="D33" i="45"/>
  <c r="C47" i="45"/>
  <c r="C34" i="45"/>
  <c r="D32" i="45"/>
  <c r="E14" i="45"/>
  <c r="D12" i="45"/>
  <c r="E13" i="45"/>
  <c r="C45" i="45"/>
  <c r="E37" i="45"/>
  <c r="E39" i="45"/>
  <c r="D43" i="45"/>
  <c r="D47" i="45" s="1"/>
  <c r="D24" i="45"/>
  <c r="E38" i="45"/>
  <c r="E40" i="45"/>
  <c r="C44" i="45"/>
  <c r="D25" i="45"/>
  <c r="E25" i="45" s="1"/>
  <c r="F25" i="45" s="1"/>
  <c r="G25" i="45" s="1"/>
  <c r="H25" i="45" s="1"/>
  <c r="I25" i="45" s="1"/>
  <c r="J25" i="45" s="1"/>
  <c r="K25" i="45" s="1"/>
  <c r="L25" i="45" s="1"/>
  <c r="M25" i="45" s="1"/>
  <c r="N25" i="45" s="1"/>
  <c r="O25" i="45" s="1"/>
  <c r="P25" i="45" s="1"/>
  <c r="C46" i="45"/>
  <c r="D32" i="44"/>
  <c r="E26" i="44"/>
  <c r="F26" i="44" s="1"/>
  <c r="G26" i="44" s="1"/>
  <c r="H26" i="44" s="1"/>
  <c r="I26" i="44" s="1"/>
  <c r="J26" i="44" s="1"/>
  <c r="K26" i="44" s="1"/>
  <c r="L26" i="44" s="1"/>
  <c r="M26" i="44" s="1"/>
  <c r="N26" i="44" s="1"/>
  <c r="O26" i="44" s="1"/>
  <c r="P26" i="44" s="1"/>
  <c r="F24" i="44"/>
  <c r="E32" i="44"/>
  <c r="E15" i="44"/>
  <c r="D33" i="44"/>
  <c r="C45" i="44"/>
  <c r="E39" i="44"/>
  <c r="C33" i="44"/>
  <c r="C43" i="44"/>
  <c r="D25" i="44"/>
  <c r="D31" i="44" s="1"/>
  <c r="D43" i="44"/>
  <c r="D47" i="44" s="1"/>
  <c r="C46" i="44"/>
  <c r="D12" i="44"/>
  <c r="E13" i="44"/>
  <c r="F14" i="44"/>
  <c r="E37" i="44"/>
  <c r="C30" i="44"/>
  <c r="C34" i="44" s="1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C47" i="43" s="1"/>
  <c r="D25" i="43"/>
  <c r="E25" i="43" s="1"/>
  <c r="F25" i="43" s="1"/>
  <c r="G25" i="43" s="1"/>
  <c r="H25" i="43" s="1"/>
  <c r="I25" i="43" s="1"/>
  <c r="J25" i="43" s="1"/>
  <c r="K25" i="43" s="1"/>
  <c r="L25" i="43" s="1"/>
  <c r="M25" i="43" s="1"/>
  <c r="N25" i="43" s="1"/>
  <c r="O25" i="43" s="1"/>
  <c r="P25" i="43" s="1"/>
  <c r="D43" i="43"/>
  <c r="D47" i="43" s="1"/>
  <c r="D24" i="43"/>
  <c r="E15" i="42"/>
  <c r="D33" i="42"/>
  <c r="C47" i="42"/>
  <c r="D31" i="42"/>
  <c r="D12" i="42"/>
  <c r="E13" i="42"/>
  <c r="F14" i="42"/>
  <c r="C45" i="42"/>
  <c r="E37" i="42"/>
  <c r="E39" i="42"/>
  <c r="E26" i="42"/>
  <c r="F26" i="42" s="1"/>
  <c r="G26" i="42" s="1"/>
  <c r="H26" i="42" s="1"/>
  <c r="I26" i="42" s="1"/>
  <c r="J26" i="42" s="1"/>
  <c r="K26" i="42" s="1"/>
  <c r="L26" i="42" s="1"/>
  <c r="M26" i="42" s="1"/>
  <c r="N26" i="42" s="1"/>
  <c r="O26" i="42" s="1"/>
  <c r="P26" i="42" s="1"/>
  <c r="C46" i="42"/>
  <c r="D24" i="42"/>
  <c r="C31" i="42"/>
  <c r="C34" i="42" s="1"/>
  <c r="D46" i="42"/>
  <c r="E38" i="42"/>
  <c r="C44" i="42"/>
  <c r="D43" i="42"/>
  <c r="D47" i="42" s="1"/>
  <c r="E40" i="15"/>
  <c r="D41" i="15"/>
  <c r="C44" i="15"/>
  <c r="D43" i="15"/>
  <c r="D47" i="15" s="1"/>
  <c r="C43" i="15"/>
  <c r="C45" i="15"/>
  <c r="C41" i="15"/>
  <c r="E41" i="15" s="1"/>
  <c r="E37" i="15"/>
  <c r="E39" i="15"/>
  <c r="E38" i="15"/>
  <c r="C27" i="15"/>
  <c r="D27" i="15" s="1"/>
  <c r="E27" i="15" s="1"/>
  <c r="F27" i="15" s="1"/>
  <c r="G27" i="15" s="1"/>
  <c r="H27" i="15" s="1"/>
  <c r="I27" i="15" s="1"/>
  <c r="J27" i="15" s="1"/>
  <c r="K27" i="15" s="1"/>
  <c r="L27" i="15" s="1"/>
  <c r="M27" i="15" s="1"/>
  <c r="C26" i="15"/>
  <c r="D26" i="15" s="1"/>
  <c r="C25" i="15"/>
  <c r="D25" i="15" s="1"/>
  <c r="E25" i="15" s="1"/>
  <c r="F25" i="15" s="1"/>
  <c r="G25" i="15" s="1"/>
  <c r="H25" i="15" s="1"/>
  <c r="I25" i="15" s="1"/>
  <c r="J25" i="15" s="1"/>
  <c r="K25" i="15" s="1"/>
  <c r="L25" i="15" s="1"/>
  <c r="M25" i="15" s="1"/>
  <c r="N25" i="15" s="1"/>
  <c r="O25" i="15" s="1"/>
  <c r="P25" i="15" s="1"/>
  <c r="C12" i="15"/>
  <c r="B27" i="15"/>
  <c r="B26" i="15"/>
  <c r="B25" i="15"/>
  <c r="C24" i="15"/>
  <c r="D24" i="15" s="1"/>
  <c r="E24" i="15" s="1"/>
  <c r="F24" i="15" s="1"/>
  <c r="G24" i="15" s="1"/>
  <c r="H24" i="15" s="1"/>
  <c r="I24" i="15" s="1"/>
  <c r="J24" i="15" s="1"/>
  <c r="K24" i="15" s="1"/>
  <c r="L24" i="15" s="1"/>
  <c r="M24" i="15" s="1"/>
  <c r="N24" i="15" s="1"/>
  <c r="O24" i="15" s="1"/>
  <c r="P24" i="15" s="1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 s="1"/>
  <c r="C14" i="15"/>
  <c r="C15" i="15"/>
  <c r="D15" i="15" s="1"/>
  <c r="B2" i="15"/>
  <c r="V22" i="1" l="1"/>
  <c r="W22" i="1" s="1"/>
  <c r="X22" i="1" s="1"/>
  <c r="Y22" i="1" s="1"/>
  <c r="J26" i="2"/>
  <c r="E31" i="50"/>
  <c r="F13" i="50"/>
  <c r="D31" i="50"/>
  <c r="E32" i="50"/>
  <c r="F14" i="50"/>
  <c r="E33" i="50"/>
  <c r="F15" i="50"/>
  <c r="D30" i="50"/>
  <c r="D34" i="50" s="1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34" i="49" s="1"/>
  <c r="D16" i="49"/>
  <c r="E12" i="49"/>
  <c r="D47" i="48"/>
  <c r="C47" i="48"/>
  <c r="E24" i="48"/>
  <c r="D28" i="48"/>
  <c r="E31" i="48"/>
  <c r="F13" i="48"/>
  <c r="F32" i="48"/>
  <c r="G14" i="48"/>
  <c r="F12" i="48"/>
  <c r="E16" i="48"/>
  <c r="E30" i="48"/>
  <c r="C34" i="48"/>
  <c r="E33" i="48"/>
  <c r="F15" i="48"/>
  <c r="D30" i="48"/>
  <c r="D34" i="48" s="1"/>
  <c r="E33" i="47"/>
  <c r="F15" i="47"/>
  <c r="E16" i="47"/>
  <c r="F12" i="47"/>
  <c r="F31" i="47"/>
  <c r="G13" i="47"/>
  <c r="D31" i="47"/>
  <c r="D34" i="47" s="1"/>
  <c r="D47" i="47"/>
  <c r="E24" i="47"/>
  <c r="E30" i="47" s="1"/>
  <c r="E34" i="47" s="1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 s="1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 s="1"/>
  <c r="E12" i="44"/>
  <c r="D16" i="44"/>
  <c r="E25" i="44"/>
  <c r="D28" i="44"/>
  <c r="C47" i="44"/>
  <c r="F32" i="44"/>
  <c r="G14" i="44"/>
  <c r="F13" i="44"/>
  <c r="E31" i="43"/>
  <c r="F13" i="43"/>
  <c r="D30" i="43"/>
  <c r="D34" i="43" s="1"/>
  <c r="D16" i="43"/>
  <c r="E12" i="43"/>
  <c r="D31" i="43"/>
  <c r="E32" i="43"/>
  <c r="F14" i="43"/>
  <c r="E24" i="43"/>
  <c r="D28" i="43"/>
  <c r="E33" i="43"/>
  <c r="F15" i="43"/>
  <c r="E24" i="42"/>
  <c r="D28" i="42"/>
  <c r="D30" i="42"/>
  <c r="D34" i="42" s="1"/>
  <c r="D16" i="42"/>
  <c r="E12" i="42"/>
  <c r="E32" i="42"/>
  <c r="E31" i="42"/>
  <c r="F13" i="42"/>
  <c r="E33" i="42"/>
  <c r="F15" i="42"/>
  <c r="F32" i="42"/>
  <c r="G14" i="42"/>
  <c r="N27" i="15"/>
  <c r="O27" i="15" s="1"/>
  <c r="P27" i="15" s="1"/>
  <c r="E15" i="15"/>
  <c r="D33" i="15"/>
  <c r="D12" i="15"/>
  <c r="D30" i="15" s="1"/>
  <c r="C30" i="15"/>
  <c r="C34" i="15" s="1"/>
  <c r="E26" i="15"/>
  <c r="D32" i="15"/>
  <c r="C47" i="15"/>
  <c r="C28" i="15"/>
  <c r="D28" i="15"/>
  <c r="D14" i="15"/>
  <c r="D13" i="15"/>
  <c r="D31" i="15" s="1"/>
  <c r="C4" i="15"/>
  <c r="D4" i="15" s="1"/>
  <c r="E4" i="15" s="1"/>
  <c r="F4" i="15" s="1"/>
  <c r="G4" i="15" s="1"/>
  <c r="H4" i="15" s="1"/>
  <c r="I4" i="15" s="1"/>
  <c r="J4" i="15" s="1"/>
  <c r="K4" i="15" s="1"/>
  <c r="L4" i="15" s="1"/>
  <c r="M4" i="15" s="1"/>
  <c r="N4" i="15" s="1"/>
  <c r="O4" i="15" s="1"/>
  <c r="P4" i="15" s="1"/>
  <c r="K26" i="2" l="1"/>
  <c r="F33" i="50"/>
  <c r="G15" i="50"/>
  <c r="F32" i="50"/>
  <c r="G14" i="50"/>
  <c r="F24" i="50"/>
  <c r="E28" i="50"/>
  <c r="E16" i="50"/>
  <c r="E30" i="50"/>
  <c r="E34" i="50" s="1"/>
  <c r="F12" i="50"/>
  <c r="F31" i="50"/>
  <c r="G13" i="50"/>
  <c r="E16" i="49"/>
  <c r="F12" i="49"/>
  <c r="E30" i="49"/>
  <c r="E34" i="49" s="1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E28" i="48"/>
  <c r="H14" i="48"/>
  <c r="G32" i="48"/>
  <c r="F33" i="48"/>
  <c r="G15" i="48"/>
  <c r="E34" i="48"/>
  <c r="G12" i="48"/>
  <c r="F16" i="48"/>
  <c r="F30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 s="1"/>
  <c r="F12" i="46"/>
  <c r="F24" i="45"/>
  <c r="E28" i="45"/>
  <c r="F32" i="45"/>
  <c r="G14" i="45"/>
  <c r="F31" i="45"/>
  <c r="G13" i="45"/>
  <c r="E16" i="45"/>
  <c r="E30" i="45"/>
  <c r="E34" i="45" s="1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 s="1"/>
  <c r="G13" i="43"/>
  <c r="F31" i="43"/>
  <c r="G13" i="42"/>
  <c r="F31" i="42"/>
  <c r="E16" i="42"/>
  <c r="E30" i="42"/>
  <c r="E34" i="42" s="1"/>
  <c r="F12" i="42"/>
  <c r="F33" i="42"/>
  <c r="G15" i="42"/>
  <c r="H14" i="42"/>
  <c r="G32" i="42"/>
  <c r="F24" i="42"/>
  <c r="E28" i="42"/>
  <c r="F15" i="15"/>
  <c r="E33" i="15"/>
  <c r="D34" i="15"/>
  <c r="F26" i="15"/>
  <c r="E32" i="15"/>
  <c r="E12" i="15"/>
  <c r="E30" i="15" s="1"/>
  <c r="E28" i="15"/>
  <c r="E13" i="15"/>
  <c r="E31" i="15" s="1"/>
  <c r="E14" i="15"/>
  <c r="F10" i="1"/>
  <c r="F9" i="1"/>
  <c r="G11" i="1"/>
  <c r="F8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F11" i="1" l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 s="1"/>
  <c r="G25" i="49"/>
  <c r="F28" i="49"/>
  <c r="H32" i="49"/>
  <c r="I14" i="49"/>
  <c r="G33" i="49"/>
  <c r="H15" i="49"/>
  <c r="G31" i="49"/>
  <c r="H13" i="49"/>
  <c r="I24" i="49"/>
  <c r="F30" i="49"/>
  <c r="F34" i="49" s="1"/>
  <c r="F16" i="49"/>
  <c r="G12" i="49"/>
  <c r="I14" i="48"/>
  <c r="H32" i="48"/>
  <c r="G33" i="48"/>
  <c r="H15" i="48"/>
  <c r="F28" i="48"/>
  <c r="G24" i="48"/>
  <c r="G30" i="48" s="1"/>
  <c r="G34" i="48" s="1"/>
  <c r="G16" i="48"/>
  <c r="H12" i="48"/>
  <c r="F34" i="48"/>
  <c r="H13" i="48"/>
  <c r="G31" i="48"/>
  <c r="F28" i="47"/>
  <c r="G24" i="47"/>
  <c r="I32" i="47"/>
  <c r="J14" i="47"/>
  <c r="I13" i="47"/>
  <c r="H31" i="47"/>
  <c r="G33" i="47"/>
  <c r="H15" i="47"/>
  <c r="F30" i="47"/>
  <c r="F34" i="47" s="1"/>
  <c r="G16" i="47"/>
  <c r="H12" i="47"/>
  <c r="G30" i="47"/>
  <c r="G34" i="47" s="1"/>
  <c r="G33" i="46"/>
  <c r="H15" i="46"/>
  <c r="I14" i="46"/>
  <c r="H32" i="46"/>
  <c r="H13" i="46"/>
  <c r="G31" i="46"/>
  <c r="G12" i="46"/>
  <c r="F16" i="46"/>
  <c r="F30" i="46"/>
  <c r="F34" i="46" s="1"/>
  <c r="F28" i="46"/>
  <c r="G24" i="46"/>
  <c r="H13" i="45"/>
  <c r="G31" i="45"/>
  <c r="G32" i="45"/>
  <c r="H14" i="45"/>
  <c r="G33" i="45"/>
  <c r="H15" i="45"/>
  <c r="F16" i="45"/>
  <c r="G12" i="45"/>
  <c r="F30" i="45"/>
  <c r="F34" i="45" s="1"/>
  <c r="F28" i="45"/>
  <c r="G24" i="45"/>
  <c r="E34" i="44"/>
  <c r="G33" i="44"/>
  <c r="H15" i="44"/>
  <c r="F16" i="44"/>
  <c r="G12" i="44"/>
  <c r="F30" i="44"/>
  <c r="F34" i="44" s="1"/>
  <c r="H13" i="44"/>
  <c r="I24" i="44"/>
  <c r="H32" i="44"/>
  <c r="I14" i="44"/>
  <c r="G25" i="44"/>
  <c r="G31" i="44" s="1"/>
  <c r="F28" i="44"/>
  <c r="F16" i="43"/>
  <c r="G12" i="43"/>
  <c r="F30" i="43"/>
  <c r="F34" i="43" s="1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 s="1"/>
  <c r="I14" i="42"/>
  <c r="H32" i="42"/>
  <c r="F28" i="42"/>
  <c r="G24" i="42"/>
  <c r="H13" i="42"/>
  <c r="G31" i="42"/>
  <c r="G15" i="15"/>
  <c r="F33" i="15"/>
  <c r="E34" i="15"/>
  <c r="G26" i="15"/>
  <c r="F32" i="15"/>
  <c r="F14" i="15"/>
  <c r="F13" i="15"/>
  <c r="F31" i="15" s="1"/>
  <c r="F12" i="15"/>
  <c r="F30" i="15" s="1"/>
  <c r="D16" i="15"/>
  <c r="C16" i="15"/>
  <c r="B2" i="2"/>
  <c r="M26" i="2" l="1"/>
  <c r="H33" i="50"/>
  <c r="I15" i="50"/>
  <c r="I14" i="50"/>
  <c r="H32" i="50"/>
  <c r="I13" i="50"/>
  <c r="H31" i="50"/>
  <c r="G28" i="50"/>
  <c r="H24" i="50"/>
  <c r="G16" i="50"/>
  <c r="H12" i="50"/>
  <c r="G30" i="50"/>
  <c r="G34" i="50" s="1"/>
  <c r="I13" i="49"/>
  <c r="I15" i="49"/>
  <c r="H33" i="49"/>
  <c r="G16" i="49"/>
  <c r="H12" i="49"/>
  <c r="G30" i="49"/>
  <c r="G34" i="49" s="1"/>
  <c r="J14" i="49"/>
  <c r="I32" i="49"/>
  <c r="J24" i="49"/>
  <c r="H25" i="49"/>
  <c r="G28" i="49"/>
  <c r="I15" i="48"/>
  <c r="H33" i="48"/>
  <c r="H31" i="48"/>
  <c r="I13" i="48"/>
  <c r="I12" i="48"/>
  <c r="H30" i="48"/>
  <c r="H34" i="48" s="1"/>
  <c r="H16" i="48"/>
  <c r="I32" i="48"/>
  <c r="J14" i="48"/>
  <c r="G28" i="48"/>
  <c r="H24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 s="1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 s="1"/>
  <c r="G28" i="45"/>
  <c r="H24" i="45"/>
  <c r="I13" i="45"/>
  <c r="H31" i="45"/>
  <c r="I13" i="44"/>
  <c r="J14" i="44"/>
  <c r="I32" i="44"/>
  <c r="H25" i="44"/>
  <c r="H31" i="44" s="1"/>
  <c r="G28" i="44"/>
  <c r="G16" i="44"/>
  <c r="H12" i="44"/>
  <c r="G30" i="44"/>
  <c r="G34" i="44" s="1"/>
  <c r="I15" i="44"/>
  <c r="H33" i="44"/>
  <c r="J24" i="44"/>
  <c r="I14" i="43"/>
  <c r="H32" i="43"/>
  <c r="I15" i="43"/>
  <c r="H33" i="43"/>
  <c r="G16" i="43"/>
  <c r="H12" i="43"/>
  <c r="G30" i="43"/>
  <c r="G34" i="43" s="1"/>
  <c r="I13" i="43"/>
  <c r="H31" i="43"/>
  <c r="G28" i="43"/>
  <c r="H24" i="43"/>
  <c r="J14" i="42"/>
  <c r="I32" i="42"/>
  <c r="I15" i="42"/>
  <c r="H33" i="42"/>
  <c r="G16" i="42"/>
  <c r="H12" i="42"/>
  <c r="G30" i="42"/>
  <c r="G34" i="42" s="1"/>
  <c r="I13" i="42"/>
  <c r="H31" i="42"/>
  <c r="G28" i="42"/>
  <c r="H24" i="42"/>
  <c r="H15" i="15"/>
  <c r="G33" i="15"/>
  <c r="F34" i="15"/>
  <c r="H26" i="15"/>
  <c r="G32" i="15"/>
  <c r="F28" i="15"/>
  <c r="G12" i="15"/>
  <c r="G30" i="15" s="1"/>
  <c r="G28" i="15"/>
  <c r="G13" i="15"/>
  <c r="G31" i="15" s="1"/>
  <c r="G14" i="15"/>
  <c r="C26" i="1"/>
  <c r="C27" i="1"/>
  <c r="B46" i="2"/>
  <c r="B45" i="2"/>
  <c r="B44" i="2"/>
  <c r="B43" i="2"/>
  <c r="B40" i="2"/>
  <c r="B39" i="2"/>
  <c r="B38" i="2"/>
  <c r="B37" i="2"/>
  <c r="C13" i="2"/>
  <c r="C14" i="2"/>
  <c r="C15" i="2"/>
  <c r="C33" i="2" s="1"/>
  <c r="C12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C4" i="2"/>
  <c r="D4" i="2" s="1"/>
  <c r="E4" i="2" s="1"/>
  <c r="F4" i="2" s="1"/>
  <c r="G4" i="2" s="1"/>
  <c r="H4" i="2" s="1"/>
  <c r="I4" i="2" s="1"/>
  <c r="J4" i="2" s="1"/>
  <c r="K4" i="2" s="1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N5" i="1"/>
  <c r="O5" i="1" s="1"/>
  <c r="P5" i="1" s="1"/>
  <c r="Q5" i="1" s="1"/>
  <c r="R5" i="1" s="1"/>
  <c r="S5" i="1" s="1"/>
  <c r="T5" i="1" s="1"/>
  <c r="U5" i="1" s="1"/>
  <c r="V5" i="1" s="1"/>
  <c r="W5" i="1" s="1"/>
  <c r="X5" i="1" s="1"/>
  <c r="Y5" i="1" s="1"/>
  <c r="C5" i="1"/>
  <c r="D5" i="1" s="1"/>
  <c r="E5" i="1" s="1"/>
  <c r="F5" i="1" s="1"/>
  <c r="G5" i="1" s="1"/>
  <c r="H5" i="1" s="1"/>
  <c r="I5" i="1" s="1"/>
  <c r="J5" i="1" s="1"/>
  <c r="K5" i="1" s="1"/>
  <c r="L5" i="1" s="1"/>
  <c r="M5" i="1" s="1"/>
  <c r="N26" i="2" l="1"/>
  <c r="D12" i="2"/>
  <c r="D30" i="2" s="1"/>
  <c r="D15" i="2"/>
  <c r="D33" i="2" s="1"/>
  <c r="D14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 s="1"/>
  <c r="I12" i="50"/>
  <c r="H16" i="50"/>
  <c r="J15" i="50"/>
  <c r="I33" i="50"/>
  <c r="K14" i="49"/>
  <c r="J32" i="49"/>
  <c r="I12" i="49"/>
  <c r="H30" i="49"/>
  <c r="H16" i="49"/>
  <c r="I25" i="49"/>
  <c r="H28" i="49"/>
  <c r="H31" i="49"/>
  <c r="K24" i="49"/>
  <c r="I33" i="49"/>
  <c r="J15" i="49"/>
  <c r="J13" i="49"/>
  <c r="I31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 s="1"/>
  <c r="J15" i="47"/>
  <c r="I33" i="47"/>
  <c r="L14" i="47"/>
  <c r="K32" i="47"/>
  <c r="K13" i="47"/>
  <c r="J31" i="47"/>
  <c r="H30" i="46"/>
  <c r="H34" i="46" s="1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 s="1"/>
  <c r="H16" i="45"/>
  <c r="J13" i="45"/>
  <c r="I31" i="45"/>
  <c r="J15" i="45"/>
  <c r="I33" i="45"/>
  <c r="H28" i="45"/>
  <c r="I24" i="45"/>
  <c r="H16" i="44"/>
  <c r="I12" i="44"/>
  <c r="H30" i="44"/>
  <c r="H34" i="44" s="1"/>
  <c r="K24" i="44"/>
  <c r="I33" i="44"/>
  <c r="J15" i="44"/>
  <c r="I25" i="44"/>
  <c r="I31" i="44" s="1"/>
  <c r="H28" i="44"/>
  <c r="K14" i="44"/>
  <c r="J32" i="44"/>
  <c r="J13" i="44"/>
  <c r="I31" i="43"/>
  <c r="J13" i="43"/>
  <c r="I12" i="43"/>
  <c r="H30" i="43"/>
  <c r="H34" i="43" s="1"/>
  <c r="H16" i="43"/>
  <c r="H28" i="43"/>
  <c r="I24" i="43"/>
  <c r="J15" i="43"/>
  <c r="I33" i="43"/>
  <c r="J14" i="43"/>
  <c r="I32" i="43"/>
  <c r="H30" i="42"/>
  <c r="H34" i="42" s="1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 s="1"/>
  <c r="H28" i="15"/>
  <c r="H14" i="15"/>
  <c r="H32" i="15" s="1"/>
  <c r="H13" i="15"/>
  <c r="H31" i="15" s="1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 l="1"/>
  <c r="D31" i="2"/>
  <c r="O26" i="2"/>
  <c r="E26" i="1"/>
  <c r="D28" i="2"/>
  <c r="E13" i="2"/>
  <c r="E31" i="2" s="1"/>
  <c r="D34" i="2"/>
  <c r="E15" i="2"/>
  <c r="E33" i="2" s="1"/>
  <c r="E14" i="2"/>
  <c r="E12" i="2"/>
  <c r="E30" i="2" s="1"/>
  <c r="E28" i="2"/>
  <c r="C25" i="1"/>
  <c r="C11" i="1"/>
  <c r="C23" i="1" s="1"/>
  <c r="D23" i="1" s="1"/>
  <c r="E23" i="1" s="1"/>
  <c r="F23" i="1" s="1"/>
  <c r="G23" i="1" s="1"/>
  <c r="H23" i="1" s="1"/>
  <c r="I23" i="1" s="1"/>
  <c r="J23" i="1" s="1"/>
  <c r="K23" i="1" s="1"/>
  <c r="L23" i="1" s="1"/>
  <c r="M23" i="1" s="1"/>
  <c r="N23" i="1" s="1"/>
  <c r="O23" i="1" s="1"/>
  <c r="P23" i="1" s="1"/>
  <c r="Q23" i="1" s="1"/>
  <c r="R23" i="1" s="1"/>
  <c r="S23" i="1" s="1"/>
  <c r="T23" i="1" s="1"/>
  <c r="U23" i="1" s="1"/>
  <c r="V23" i="1" s="1"/>
  <c r="W23" i="1" s="1"/>
  <c r="X23" i="1" s="1"/>
  <c r="Y23" i="1" s="1"/>
  <c r="D28" i="1"/>
  <c r="K14" i="50"/>
  <c r="J32" i="50"/>
  <c r="K13" i="50"/>
  <c r="J31" i="50"/>
  <c r="J12" i="50"/>
  <c r="I30" i="50"/>
  <c r="I34" i="50" s="1"/>
  <c r="I16" i="50"/>
  <c r="K15" i="50"/>
  <c r="J33" i="50"/>
  <c r="J24" i="50"/>
  <c r="I28" i="50"/>
  <c r="J25" i="49"/>
  <c r="I28" i="49"/>
  <c r="J12" i="49"/>
  <c r="I16" i="49"/>
  <c r="I30" i="49"/>
  <c r="I34" i="49" s="1"/>
  <c r="K13" i="49"/>
  <c r="J31" i="49"/>
  <c r="K15" i="49"/>
  <c r="J33" i="49"/>
  <c r="H34" i="49"/>
  <c r="L24" i="49"/>
  <c r="L14" i="49"/>
  <c r="K32" i="49"/>
  <c r="I28" i="48"/>
  <c r="J24" i="48"/>
  <c r="K13" i="48"/>
  <c r="J31" i="48"/>
  <c r="J33" i="48"/>
  <c r="K15" i="48"/>
  <c r="I30" i="48"/>
  <c r="I34" i="48" s="1"/>
  <c r="L14" i="48"/>
  <c r="K32" i="48"/>
  <c r="J16" i="48"/>
  <c r="J30" i="48"/>
  <c r="K12" i="48"/>
  <c r="K15" i="47"/>
  <c r="J33" i="47"/>
  <c r="J24" i="47"/>
  <c r="I28" i="47"/>
  <c r="L13" i="47"/>
  <c r="K31" i="47"/>
  <c r="I30" i="47"/>
  <c r="I34" i="47" s="1"/>
  <c r="M14" i="47"/>
  <c r="L32" i="47"/>
  <c r="K12" i="47"/>
  <c r="J30" i="47"/>
  <c r="J34" i="47" s="1"/>
  <c r="J16" i="47"/>
  <c r="K15" i="46"/>
  <c r="J33" i="46"/>
  <c r="L14" i="46"/>
  <c r="K32" i="46"/>
  <c r="J12" i="46"/>
  <c r="I30" i="46"/>
  <c r="I34" i="46" s="1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 s="1"/>
  <c r="I16" i="45"/>
  <c r="K14" i="45"/>
  <c r="J32" i="45"/>
  <c r="K15" i="44"/>
  <c r="J33" i="44"/>
  <c r="K13" i="44"/>
  <c r="J25" i="44"/>
  <c r="J31" i="44" s="1"/>
  <c r="I28" i="44"/>
  <c r="L24" i="44"/>
  <c r="L14" i="44"/>
  <c r="K32" i="44"/>
  <c r="J12" i="44"/>
  <c r="I16" i="44"/>
  <c r="I30" i="44"/>
  <c r="I34" i="44" s="1"/>
  <c r="K15" i="43"/>
  <c r="J33" i="43"/>
  <c r="J24" i="43"/>
  <c r="I28" i="43"/>
  <c r="K14" i="43"/>
  <c r="J32" i="43"/>
  <c r="K13" i="43"/>
  <c r="J31" i="43"/>
  <c r="J12" i="43"/>
  <c r="I30" i="43"/>
  <c r="I34" i="43" s="1"/>
  <c r="I16" i="43"/>
  <c r="K15" i="42"/>
  <c r="J33" i="42"/>
  <c r="I28" i="42"/>
  <c r="J24" i="42"/>
  <c r="K13" i="42"/>
  <c r="J31" i="42"/>
  <c r="L14" i="42"/>
  <c r="K32" i="42"/>
  <c r="J12" i="42"/>
  <c r="I30" i="42"/>
  <c r="I34" i="42" s="1"/>
  <c r="I16" i="42"/>
  <c r="J15" i="15"/>
  <c r="I33" i="15"/>
  <c r="H34" i="15"/>
  <c r="J26" i="15"/>
  <c r="I13" i="15"/>
  <c r="I31" i="15" s="1"/>
  <c r="I12" i="15"/>
  <c r="I30" i="15" s="1"/>
  <c r="I14" i="15"/>
  <c r="I32" i="15" s="1"/>
  <c r="D27" i="1"/>
  <c r="E27" i="1"/>
  <c r="G16" i="15"/>
  <c r="F16" i="15"/>
  <c r="F41" i="2"/>
  <c r="E47" i="2"/>
  <c r="C34" i="2"/>
  <c r="C47" i="2"/>
  <c r="D47" i="2"/>
  <c r="P26" i="2" l="1"/>
  <c r="F15" i="2"/>
  <c r="F33" i="2" s="1"/>
  <c r="D25" i="1"/>
  <c r="F14" i="2"/>
  <c r="F32" i="2" s="1"/>
  <c r="F12" i="2"/>
  <c r="F30" i="2" s="1"/>
  <c r="E16" i="2"/>
  <c r="F28" i="2"/>
  <c r="F13" i="2"/>
  <c r="F31" i="2" s="1"/>
  <c r="C29" i="1"/>
  <c r="D29" i="1"/>
  <c r="E28" i="1"/>
  <c r="L15" i="50"/>
  <c r="K33" i="50"/>
  <c r="K31" i="50"/>
  <c r="L13" i="50"/>
  <c r="J30" i="50"/>
  <c r="J34" i="50" s="1"/>
  <c r="J16" i="50"/>
  <c r="K12" i="50"/>
  <c r="K24" i="50"/>
  <c r="J28" i="50"/>
  <c r="L14" i="50"/>
  <c r="K32" i="50"/>
  <c r="L15" i="49"/>
  <c r="K33" i="49"/>
  <c r="L13" i="49"/>
  <c r="J30" i="49"/>
  <c r="J34" i="49" s="1"/>
  <c r="J16" i="49"/>
  <c r="K12" i="49"/>
  <c r="L32" i="49"/>
  <c r="M14" i="49"/>
  <c r="M24" i="49"/>
  <c r="K25" i="49"/>
  <c r="K31" i="49" s="1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 s="1"/>
  <c r="K34" i="48" s="1"/>
  <c r="L31" i="47"/>
  <c r="M13" i="47"/>
  <c r="M32" i="47"/>
  <c r="N14" i="47"/>
  <c r="K16" i="47"/>
  <c r="L12" i="47"/>
  <c r="J28" i="47"/>
  <c r="K24" i="47"/>
  <c r="K30" i="47" s="1"/>
  <c r="K34" i="47" s="1"/>
  <c r="L15" i="47"/>
  <c r="K33" i="47"/>
  <c r="K31" i="46"/>
  <c r="L13" i="46"/>
  <c r="J30" i="46"/>
  <c r="J34" i="46" s="1"/>
  <c r="J16" i="46"/>
  <c r="K12" i="46"/>
  <c r="J28" i="46"/>
  <c r="K24" i="46"/>
  <c r="L32" i="46"/>
  <c r="M14" i="46"/>
  <c r="K33" i="46"/>
  <c r="L15" i="46"/>
  <c r="J30" i="45"/>
  <c r="J34" i="45" s="1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 s="1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 s="1"/>
  <c r="J16" i="43"/>
  <c r="K12" i="43"/>
  <c r="L15" i="43"/>
  <c r="K33" i="43"/>
  <c r="L32" i="42"/>
  <c r="M14" i="42"/>
  <c r="K31" i="42"/>
  <c r="L13" i="42"/>
  <c r="J28" i="42"/>
  <c r="K24" i="42"/>
  <c r="J30" i="42"/>
  <c r="J34" i="42" s="1"/>
  <c r="J16" i="42"/>
  <c r="K12" i="42"/>
  <c r="K33" i="42"/>
  <c r="L15" i="42"/>
  <c r="K15" i="15"/>
  <c r="J33" i="15"/>
  <c r="I34" i="15"/>
  <c r="K26" i="15"/>
  <c r="J14" i="15"/>
  <c r="J32" i="15" s="1"/>
  <c r="I28" i="15"/>
  <c r="J12" i="15"/>
  <c r="J30" i="15" s="1"/>
  <c r="J13" i="15"/>
  <c r="J31" i="15" s="1"/>
  <c r="F26" i="1"/>
  <c r="F27" i="1"/>
  <c r="Q26" i="2" l="1"/>
  <c r="G12" i="2"/>
  <c r="G30" i="2" s="1"/>
  <c r="G14" i="2"/>
  <c r="G32" i="2" s="1"/>
  <c r="E34" i="2"/>
  <c r="E29" i="1"/>
  <c r="F16" i="2"/>
  <c r="G13" i="2"/>
  <c r="G31" i="2" s="1"/>
  <c r="F34" i="2"/>
  <c r="G15" i="2"/>
  <c r="G33" i="2" s="1"/>
  <c r="F28" i="1"/>
  <c r="K28" i="50"/>
  <c r="L24" i="50"/>
  <c r="K30" i="50"/>
  <c r="K34" i="50" s="1"/>
  <c r="L12" i="50"/>
  <c r="K16" i="50"/>
  <c r="L32" i="50"/>
  <c r="M14" i="50"/>
  <c r="L31" i="50"/>
  <c r="M13" i="50"/>
  <c r="M15" i="50"/>
  <c r="L33" i="50"/>
  <c r="M13" i="49"/>
  <c r="K30" i="49"/>
  <c r="K34" i="49" s="1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 s="1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 s="1"/>
  <c r="L12" i="45"/>
  <c r="L32" i="45"/>
  <c r="M14" i="45"/>
  <c r="K30" i="44"/>
  <c r="K34" i="44" s="1"/>
  <c r="K16" i="44"/>
  <c r="L12" i="44"/>
  <c r="M15" i="44"/>
  <c r="L33" i="44"/>
  <c r="N24" i="44"/>
  <c r="M32" i="44"/>
  <c r="N14" i="44"/>
  <c r="M13" i="44"/>
  <c r="L25" i="44"/>
  <c r="L31" i="44" s="1"/>
  <c r="K28" i="44"/>
  <c r="L32" i="43"/>
  <c r="M14" i="43"/>
  <c r="L31" i="43"/>
  <c r="M13" i="43"/>
  <c r="M15" i="43"/>
  <c r="L33" i="43"/>
  <c r="K30" i="43"/>
  <c r="K34" i="43" s="1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 s="1"/>
  <c r="K16" i="42"/>
  <c r="L12" i="42"/>
  <c r="L15" i="15"/>
  <c r="K33" i="15"/>
  <c r="J34" i="15"/>
  <c r="L26" i="15"/>
  <c r="K13" i="15"/>
  <c r="K31" i="15" s="1"/>
  <c r="J28" i="15"/>
  <c r="K12" i="15"/>
  <c r="K30" i="15" s="1"/>
  <c r="K14" i="15"/>
  <c r="K32" i="15" s="1"/>
  <c r="E25" i="1"/>
  <c r="G27" i="1"/>
  <c r="G26" i="1"/>
  <c r="I16" i="15"/>
  <c r="H16" i="15"/>
  <c r="R26" i="2" l="1"/>
  <c r="F29" i="1"/>
  <c r="H13" i="2"/>
  <c r="H31" i="2" s="1"/>
  <c r="H15" i="2"/>
  <c r="H33" i="2" s="1"/>
  <c r="H12" i="2"/>
  <c r="H30" i="2" s="1"/>
  <c r="G16" i="2"/>
  <c r="H14" i="2"/>
  <c r="H32" i="2" s="1"/>
  <c r="G28" i="2"/>
  <c r="G28" i="1"/>
  <c r="M32" i="50"/>
  <c r="N14" i="50"/>
  <c r="L30" i="50"/>
  <c r="L34" i="50" s="1"/>
  <c r="L16" i="50"/>
  <c r="M12" i="50"/>
  <c r="M33" i="50"/>
  <c r="N15" i="50"/>
  <c r="M24" i="50"/>
  <c r="L28" i="50"/>
  <c r="M31" i="50"/>
  <c r="N13" i="50"/>
  <c r="M25" i="49"/>
  <c r="L28" i="49"/>
  <c r="O24" i="49"/>
  <c r="M33" i="49"/>
  <c r="N15" i="49"/>
  <c r="M31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 s="1"/>
  <c r="O13" i="47"/>
  <c r="N31" i="47"/>
  <c r="N15" i="47"/>
  <c r="M33" i="47"/>
  <c r="N12" i="47"/>
  <c r="M16" i="47"/>
  <c r="M24" i="47"/>
  <c r="L28" i="47"/>
  <c r="P14" i="47"/>
  <c r="P32" i="47" s="1"/>
  <c r="O32" i="47"/>
  <c r="L30" i="47"/>
  <c r="L34" i="47" s="1"/>
  <c r="M33" i="46"/>
  <c r="N15" i="46"/>
  <c r="M31" i="46"/>
  <c r="N13" i="46"/>
  <c r="L30" i="46"/>
  <c r="L34" i="46" s="1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 s="1"/>
  <c r="L16" i="45"/>
  <c r="M12" i="45"/>
  <c r="O24" i="44"/>
  <c r="N15" i="44"/>
  <c r="M33" i="44"/>
  <c r="M25" i="44"/>
  <c r="L28" i="44"/>
  <c r="L30" i="44"/>
  <c r="L34" i="44" s="1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 s="1"/>
  <c r="L16" i="43"/>
  <c r="M12" i="43"/>
  <c r="N32" i="42"/>
  <c r="O14" i="42"/>
  <c r="M31" i="42"/>
  <c r="N13" i="42"/>
  <c r="M24" i="42"/>
  <c r="L28" i="42"/>
  <c r="L30" i="42"/>
  <c r="L34" i="42" s="1"/>
  <c r="L16" i="42"/>
  <c r="M12" i="42"/>
  <c r="M33" i="42"/>
  <c r="N15" i="42"/>
  <c r="M15" i="15"/>
  <c r="L33" i="15"/>
  <c r="K34" i="15"/>
  <c r="M26" i="15"/>
  <c r="L14" i="15"/>
  <c r="L32" i="15" s="1"/>
  <c r="K28" i="15"/>
  <c r="L12" i="15"/>
  <c r="L30" i="15" s="1"/>
  <c r="L28" i="15"/>
  <c r="L13" i="15"/>
  <c r="L31" i="15" s="1"/>
  <c r="F25" i="1"/>
  <c r="H26" i="1"/>
  <c r="H27" i="1"/>
  <c r="J16" i="15"/>
  <c r="G29" i="1" l="1"/>
  <c r="S26" i="2"/>
  <c r="H28" i="2"/>
  <c r="I15" i="2"/>
  <c r="I33" i="2" s="1"/>
  <c r="I14" i="2"/>
  <c r="I32" i="2" s="1"/>
  <c r="I12" i="2"/>
  <c r="I30" i="2" s="1"/>
  <c r="G34" i="2"/>
  <c r="H16" i="2"/>
  <c r="I28" i="2"/>
  <c r="I13" i="2"/>
  <c r="I31" i="2" s="1"/>
  <c r="H28" i="1"/>
  <c r="N24" i="50"/>
  <c r="M28" i="50"/>
  <c r="N31" i="50"/>
  <c r="O13" i="50"/>
  <c r="N33" i="50"/>
  <c r="O15" i="50"/>
  <c r="N32" i="50"/>
  <c r="O14" i="50"/>
  <c r="M16" i="50"/>
  <c r="M30" i="50"/>
  <c r="M34" i="50" s="1"/>
  <c r="N12" i="50"/>
  <c r="O13" i="49"/>
  <c r="N33" i="49"/>
  <c r="O15" i="49"/>
  <c r="O32" i="49"/>
  <c r="P14" i="49"/>
  <c r="P32" i="49" s="1"/>
  <c r="M16" i="49"/>
  <c r="M30" i="49"/>
  <c r="M34" i="49" s="1"/>
  <c r="N12" i="49"/>
  <c r="P24" i="49"/>
  <c r="L34" i="49"/>
  <c r="N25" i="49"/>
  <c r="M28" i="49"/>
  <c r="N33" i="48"/>
  <c r="O15" i="48"/>
  <c r="P14" i="48"/>
  <c r="P32" i="48" s="1"/>
  <c r="O32" i="48"/>
  <c r="N24" i="48"/>
  <c r="N30" i="48" s="1"/>
  <c r="N34" i="48" s="1"/>
  <c r="M28" i="48"/>
  <c r="O12" i="48"/>
  <c r="N16" i="48"/>
  <c r="O13" i="48"/>
  <c r="N31" i="48"/>
  <c r="M30" i="48"/>
  <c r="M34" i="48" s="1"/>
  <c r="N16" i="47"/>
  <c r="O12" i="47"/>
  <c r="N24" i="47"/>
  <c r="N30" i="47" s="1"/>
  <c r="N34" i="47" s="1"/>
  <c r="M28" i="47"/>
  <c r="M30" i="47"/>
  <c r="M34" i="47" s="1"/>
  <c r="N33" i="47"/>
  <c r="O15" i="47"/>
  <c r="P13" i="47"/>
  <c r="P31" i="47" s="1"/>
  <c r="O31" i="47"/>
  <c r="N31" i="46"/>
  <c r="O13" i="46"/>
  <c r="N24" i="46"/>
  <c r="M28" i="46"/>
  <c r="N33" i="46"/>
  <c r="O15" i="46"/>
  <c r="M16" i="46"/>
  <c r="M30" i="46"/>
  <c r="M34" i="46" s="1"/>
  <c r="N12" i="46"/>
  <c r="O32" i="46"/>
  <c r="P14" i="46"/>
  <c r="P32" i="46" s="1"/>
  <c r="N31" i="45"/>
  <c r="O13" i="45"/>
  <c r="N32" i="45"/>
  <c r="O14" i="45"/>
  <c r="N33" i="45"/>
  <c r="O15" i="45"/>
  <c r="N24" i="45"/>
  <c r="M28" i="45"/>
  <c r="M16" i="45"/>
  <c r="M30" i="45"/>
  <c r="M34" i="45" s="1"/>
  <c r="N12" i="45"/>
  <c r="N12" i="44"/>
  <c r="M16" i="44"/>
  <c r="M30" i="44"/>
  <c r="O32" i="44"/>
  <c r="P14" i="44"/>
  <c r="P32" i="44" s="1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 s="1"/>
  <c r="N12" i="43"/>
  <c r="N33" i="43"/>
  <c r="O15" i="43"/>
  <c r="N24" i="42"/>
  <c r="M28" i="42"/>
  <c r="O13" i="42"/>
  <c r="N31" i="42"/>
  <c r="N33" i="42"/>
  <c r="O15" i="42"/>
  <c r="P14" i="42"/>
  <c r="P32" i="42" s="1"/>
  <c r="O32" i="42"/>
  <c r="N12" i="42"/>
  <c r="M16" i="42"/>
  <c r="M30" i="42"/>
  <c r="M34" i="42" s="1"/>
  <c r="N15" i="15"/>
  <c r="M33" i="15"/>
  <c r="L34" i="15"/>
  <c r="N26" i="15"/>
  <c r="M12" i="15"/>
  <c r="M30" i="15" s="1"/>
  <c r="M28" i="15"/>
  <c r="M13" i="15"/>
  <c r="M31" i="15" s="1"/>
  <c r="M14" i="15"/>
  <c r="M32" i="15" s="1"/>
  <c r="G25" i="1"/>
  <c r="I27" i="1"/>
  <c r="I26" i="1"/>
  <c r="T26" i="2" l="1"/>
  <c r="J12" i="2"/>
  <c r="J30" i="2" s="1"/>
  <c r="H34" i="2"/>
  <c r="I16" i="2"/>
  <c r="J28" i="2"/>
  <c r="I34" i="2"/>
  <c r="J13" i="2"/>
  <c r="J31" i="2" s="1"/>
  <c r="J14" i="2"/>
  <c r="J32" i="2" s="1"/>
  <c r="J15" i="2"/>
  <c r="J33" i="2" s="1"/>
  <c r="I28" i="1"/>
  <c r="O32" i="50"/>
  <c r="P14" i="50"/>
  <c r="P32" i="50" s="1"/>
  <c r="O33" i="50"/>
  <c r="P15" i="50"/>
  <c r="P33" i="50" s="1"/>
  <c r="N16" i="50"/>
  <c r="O12" i="50"/>
  <c r="N30" i="50"/>
  <c r="N34" i="50" s="1"/>
  <c r="P13" i="50"/>
  <c r="P31" i="50" s="1"/>
  <c r="O31" i="50"/>
  <c r="N28" i="50"/>
  <c r="O24" i="50"/>
  <c r="O25" i="49"/>
  <c r="N28" i="49"/>
  <c r="P13" i="49"/>
  <c r="O31" i="49"/>
  <c r="O33" i="49"/>
  <c r="P15" i="49"/>
  <c r="P33" i="49" s="1"/>
  <c r="N16" i="49"/>
  <c r="N30" i="49"/>
  <c r="O12" i="49"/>
  <c r="N31" i="49"/>
  <c r="O16" i="48"/>
  <c r="P12" i="48"/>
  <c r="N28" i="48"/>
  <c r="O24" i="48"/>
  <c r="P13" i="48"/>
  <c r="P31" i="48" s="1"/>
  <c r="O31" i="48"/>
  <c r="O33" i="48"/>
  <c r="P15" i="48"/>
  <c r="P33" i="48" s="1"/>
  <c r="O33" i="47"/>
  <c r="P15" i="47"/>
  <c r="P33" i="47" s="1"/>
  <c r="O16" i="47"/>
  <c r="P12" i="47"/>
  <c r="N28" i="47"/>
  <c r="O24" i="47"/>
  <c r="O33" i="46"/>
  <c r="P15" i="46"/>
  <c r="P33" i="46" s="1"/>
  <c r="N28" i="46"/>
  <c r="O24" i="46"/>
  <c r="P13" i="46"/>
  <c r="P31" i="46" s="1"/>
  <c r="O31" i="46"/>
  <c r="N16" i="46"/>
  <c r="O12" i="46"/>
  <c r="N30" i="46"/>
  <c r="N34" i="46" s="1"/>
  <c r="N28" i="45"/>
  <c r="O24" i="45"/>
  <c r="O33" i="45"/>
  <c r="P15" i="45"/>
  <c r="P33" i="45" s="1"/>
  <c r="O32" i="45"/>
  <c r="P14" i="45"/>
  <c r="P32" i="45" s="1"/>
  <c r="N16" i="45"/>
  <c r="O12" i="45"/>
  <c r="N30" i="45"/>
  <c r="N34" i="45" s="1"/>
  <c r="P13" i="45"/>
  <c r="P31" i="45" s="1"/>
  <c r="O31" i="45"/>
  <c r="O25" i="44"/>
  <c r="N28" i="44"/>
  <c r="O33" i="44"/>
  <c r="P15" i="44"/>
  <c r="P33" i="44" s="1"/>
  <c r="M34" i="44"/>
  <c r="N31" i="44"/>
  <c r="P13" i="44"/>
  <c r="O31" i="44"/>
  <c r="N30" i="44"/>
  <c r="N16" i="44"/>
  <c r="O12" i="44"/>
  <c r="P13" i="43"/>
  <c r="P31" i="43" s="1"/>
  <c r="O31" i="43"/>
  <c r="N28" i="43"/>
  <c r="O24" i="43"/>
  <c r="O33" i="43"/>
  <c r="P15" i="43"/>
  <c r="P33" i="43" s="1"/>
  <c r="O32" i="43"/>
  <c r="P14" i="43"/>
  <c r="P32" i="43" s="1"/>
  <c r="N16" i="43"/>
  <c r="O12" i="43"/>
  <c r="N30" i="43"/>
  <c r="N34" i="43" s="1"/>
  <c r="O33" i="42"/>
  <c r="P15" i="42"/>
  <c r="P33" i="42" s="1"/>
  <c r="P13" i="42"/>
  <c r="P31" i="42" s="1"/>
  <c r="O31" i="42"/>
  <c r="N16" i="42"/>
  <c r="O12" i="42"/>
  <c r="N30" i="42"/>
  <c r="N34" i="42" s="1"/>
  <c r="N28" i="42"/>
  <c r="O24" i="42"/>
  <c r="O15" i="15"/>
  <c r="N33" i="15"/>
  <c r="M34" i="15"/>
  <c r="O26" i="15"/>
  <c r="N13" i="15"/>
  <c r="N31" i="15" s="1"/>
  <c r="N14" i="15"/>
  <c r="N32" i="15" s="1"/>
  <c r="N12" i="15"/>
  <c r="N30" i="15" s="1"/>
  <c r="N28" i="15"/>
  <c r="H29" i="1"/>
  <c r="H25" i="1"/>
  <c r="J26" i="1"/>
  <c r="J27" i="1"/>
  <c r="L16" i="15"/>
  <c r="K16" i="15"/>
  <c r="U26" i="2" l="1"/>
  <c r="K14" i="2"/>
  <c r="K32" i="2" s="1"/>
  <c r="K12" i="2"/>
  <c r="K30" i="2" s="1"/>
  <c r="J16" i="2"/>
  <c r="K13" i="2"/>
  <c r="K31" i="2" s="1"/>
  <c r="K15" i="2"/>
  <c r="K33" i="2" s="1"/>
  <c r="J28" i="1"/>
  <c r="O16" i="50"/>
  <c r="P12" i="50"/>
  <c r="O30" i="50"/>
  <c r="O34" i="50" s="1"/>
  <c r="O28" i="50"/>
  <c r="P24" i="50"/>
  <c r="P28" i="50" s="1"/>
  <c r="O16" i="49"/>
  <c r="P12" i="49"/>
  <c r="O30" i="49"/>
  <c r="O34" i="49" s="1"/>
  <c r="P31" i="49"/>
  <c r="N34" i="49"/>
  <c r="P25" i="49"/>
  <c r="P28" i="49" s="1"/>
  <c r="O28" i="49"/>
  <c r="P16" i="48"/>
  <c r="O28" i="48"/>
  <c r="P24" i="48"/>
  <c r="P28" i="48" s="1"/>
  <c r="O30" i="48"/>
  <c r="O34" i="48" s="1"/>
  <c r="O28" i="47"/>
  <c r="P24" i="47"/>
  <c r="P28" i="47" s="1"/>
  <c r="P30" i="47"/>
  <c r="P34" i="47" s="1"/>
  <c r="P16" i="47"/>
  <c r="O30" i="47"/>
  <c r="O34" i="47" s="1"/>
  <c r="O16" i="46"/>
  <c r="P12" i="46"/>
  <c r="O30" i="46"/>
  <c r="O34" i="46" s="1"/>
  <c r="O28" i="46"/>
  <c r="P24" i="46"/>
  <c r="P28" i="46" s="1"/>
  <c r="O16" i="45"/>
  <c r="P12" i="45"/>
  <c r="O30" i="45"/>
  <c r="O34" i="45" s="1"/>
  <c r="O28" i="45"/>
  <c r="P24" i="45"/>
  <c r="P28" i="45" s="1"/>
  <c r="O16" i="44"/>
  <c r="O30" i="44"/>
  <c r="O34" i="44" s="1"/>
  <c r="P12" i="44"/>
  <c r="N34" i="44"/>
  <c r="P25" i="44"/>
  <c r="P28" i="44" s="1"/>
  <c r="O28" i="44"/>
  <c r="O28" i="43"/>
  <c r="P24" i="43"/>
  <c r="P28" i="43" s="1"/>
  <c r="O16" i="43"/>
  <c r="P12" i="43"/>
  <c r="O30" i="43"/>
  <c r="O34" i="43" s="1"/>
  <c r="O16" i="42"/>
  <c r="P12" i="42"/>
  <c r="O30" i="42"/>
  <c r="O34" i="42" s="1"/>
  <c r="O28" i="42"/>
  <c r="P24" i="42"/>
  <c r="P28" i="42" s="1"/>
  <c r="P15" i="15"/>
  <c r="P33" i="15" s="1"/>
  <c r="O33" i="15"/>
  <c r="N34" i="15"/>
  <c r="P26" i="15"/>
  <c r="O14" i="15"/>
  <c r="O32" i="15" s="1"/>
  <c r="O12" i="15"/>
  <c r="O30" i="15" s="1"/>
  <c r="O13" i="15"/>
  <c r="O31" i="15" s="1"/>
  <c r="I25" i="1"/>
  <c r="I29" i="1"/>
  <c r="K27" i="1"/>
  <c r="K26" i="1"/>
  <c r="M16" i="15"/>
  <c r="V26" i="2" l="1"/>
  <c r="L13" i="2"/>
  <c r="L31" i="2" s="1"/>
  <c r="K28" i="2"/>
  <c r="L12" i="2"/>
  <c r="L30" i="2" s="1"/>
  <c r="K16" i="2"/>
  <c r="L15" i="2"/>
  <c r="L33" i="2" s="1"/>
  <c r="J34" i="2"/>
  <c r="L14" i="2"/>
  <c r="L32" i="2" s="1"/>
  <c r="K28" i="1"/>
  <c r="P30" i="50"/>
  <c r="P34" i="50" s="1"/>
  <c r="P16" i="50"/>
  <c r="P30" i="49"/>
  <c r="P34" i="49" s="1"/>
  <c r="P16" i="49"/>
  <c r="P30" i="48"/>
  <c r="P34" i="48" s="1"/>
  <c r="P30" i="46"/>
  <c r="P34" i="46" s="1"/>
  <c r="P16" i="46"/>
  <c r="P30" i="45"/>
  <c r="P34" i="45" s="1"/>
  <c r="P16" i="45"/>
  <c r="P30" i="44"/>
  <c r="P16" i="44"/>
  <c r="P31" i="44"/>
  <c r="P30" i="43"/>
  <c r="P34" i="43" s="1"/>
  <c r="P16" i="43"/>
  <c r="P30" i="42"/>
  <c r="P34" i="42" s="1"/>
  <c r="P16" i="42"/>
  <c r="O34" i="15"/>
  <c r="P13" i="15"/>
  <c r="P31" i="15" s="1"/>
  <c r="O28" i="15"/>
  <c r="P12" i="15"/>
  <c r="P30" i="15" s="1"/>
  <c r="P14" i="15"/>
  <c r="P32" i="15" s="1"/>
  <c r="J29" i="1"/>
  <c r="J25" i="1"/>
  <c r="L27" i="1"/>
  <c r="L26" i="1"/>
  <c r="N16" i="15"/>
  <c r="W26" i="2" l="1"/>
  <c r="M12" i="2"/>
  <c r="M30" i="2" s="1"/>
  <c r="L16" i="2"/>
  <c r="M13" i="2"/>
  <c r="M31" i="2" s="1"/>
  <c r="L34" i="2"/>
  <c r="M14" i="2"/>
  <c r="M32" i="2" s="1"/>
  <c r="K34" i="2"/>
  <c r="M15" i="2"/>
  <c r="M33" i="2" s="1"/>
  <c r="L28" i="2"/>
  <c r="L28" i="1"/>
  <c r="P34" i="44"/>
  <c r="P34" i="15"/>
  <c r="P28" i="15"/>
  <c r="K29" i="1"/>
  <c r="K25" i="1"/>
  <c r="M27" i="1"/>
  <c r="M26" i="1"/>
  <c r="N14" i="2" l="1"/>
  <c r="N32" i="2" s="1"/>
  <c r="N28" i="2"/>
  <c r="M34" i="2"/>
  <c r="N13" i="2"/>
  <c r="N31" i="2" s="1"/>
  <c r="M28" i="2"/>
  <c r="N15" i="2"/>
  <c r="N33" i="2" s="1"/>
  <c r="N12" i="2"/>
  <c r="N30" i="2" s="1"/>
  <c r="M16" i="2"/>
  <c r="M28" i="1"/>
  <c r="L25" i="1"/>
  <c r="L29" i="1"/>
  <c r="N27" i="1"/>
  <c r="N26" i="1"/>
  <c r="P16" i="15"/>
  <c r="O16" i="15"/>
  <c r="O15" i="2" l="1"/>
  <c r="O33" i="2" s="1"/>
  <c r="O13" i="2"/>
  <c r="O31" i="2" s="1"/>
  <c r="O12" i="2"/>
  <c r="O30" i="2" s="1"/>
  <c r="N16" i="2"/>
  <c r="O14" i="2"/>
  <c r="O32" i="2" s="1"/>
  <c r="N28" i="1"/>
  <c r="M29" i="1"/>
  <c r="M25" i="1"/>
  <c r="O27" i="1"/>
  <c r="O26" i="1"/>
  <c r="N34" i="2" l="1"/>
  <c r="O28" i="2"/>
  <c r="O34" i="2"/>
  <c r="P13" i="2"/>
  <c r="P31" i="2" s="1"/>
  <c r="P14" i="2"/>
  <c r="P32" i="2" s="1"/>
  <c r="P12" i="2"/>
  <c r="P30" i="2" s="1"/>
  <c r="O16" i="2"/>
  <c r="P15" i="2"/>
  <c r="P33" i="2" s="1"/>
  <c r="O28" i="1"/>
  <c r="N25" i="1"/>
  <c r="N29" i="1"/>
  <c r="P27" i="1"/>
  <c r="P26" i="1"/>
  <c r="Q14" i="2" l="1"/>
  <c r="Q32" i="2" s="1"/>
  <c r="Q12" i="2"/>
  <c r="Q30" i="2" s="1"/>
  <c r="P16" i="2"/>
  <c r="Q13" i="2"/>
  <c r="Q31" i="2" s="1"/>
  <c r="P28" i="2"/>
  <c r="Q15" i="2"/>
  <c r="Q33" i="2" s="1"/>
  <c r="P28" i="1"/>
  <c r="O29" i="1"/>
  <c r="O25" i="1"/>
  <c r="Q26" i="1"/>
  <c r="Q27" i="1"/>
  <c r="R15" i="2" l="1"/>
  <c r="R33" i="2" s="1"/>
  <c r="Q28" i="2"/>
  <c r="R12" i="2"/>
  <c r="R30" i="2" s="1"/>
  <c r="Q16" i="2"/>
  <c r="R28" i="2"/>
  <c r="R13" i="2"/>
  <c r="R31" i="2" s="1"/>
  <c r="P34" i="2"/>
  <c r="R14" i="2"/>
  <c r="R32" i="2" s="1"/>
  <c r="Q28" i="1"/>
  <c r="P25" i="1"/>
  <c r="P29" i="1"/>
  <c r="R26" i="1"/>
  <c r="R27" i="1"/>
  <c r="S12" i="2" l="1"/>
  <c r="S30" i="2" s="1"/>
  <c r="R16" i="2"/>
  <c r="Q34" i="2"/>
  <c r="S14" i="2"/>
  <c r="S32" i="2" s="1"/>
  <c r="S13" i="2"/>
  <c r="S31" i="2" s="1"/>
  <c r="R34" i="2"/>
  <c r="S15" i="2"/>
  <c r="S33" i="2" s="1"/>
  <c r="R28" i="1"/>
  <c r="Q29" i="1"/>
  <c r="Q25" i="1"/>
  <c r="S27" i="1"/>
  <c r="S26" i="1"/>
  <c r="T14" i="2" l="1"/>
  <c r="T32" i="2" s="1"/>
  <c r="T15" i="2"/>
  <c r="T33" i="2" s="1"/>
  <c r="T12" i="2"/>
  <c r="T30" i="2" s="1"/>
  <c r="S16" i="2"/>
  <c r="S34" i="2"/>
  <c r="T13" i="2"/>
  <c r="T31" i="2" s="1"/>
  <c r="S28" i="2"/>
  <c r="S28" i="1"/>
  <c r="R25" i="1"/>
  <c r="R29" i="1"/>
  <c r="T26" i="1"/>
  <c r="T27" i="1"/>
  <c r="U13" i="2" l="1"/>
  <c r="U31" i="2" s="1"/>
  <c r="T34" i="2"/>
  <c r="U15" i="2"/>
  <c r="U33" i="2" s="1"/>
  <c r="T28" i="2"/>
  <c r="U12" i="2"/>
  <c r="U30" i="2" s="1"/>
  <c r="T16" i="2"/>
  <c r="U14" i="2"/>
  <c r="U32" i="2" s="1"/>
  <c r="T28" i="1"/>
  <c r="S29" i="1"/>
  <c r="S25" i="1"/>
  <c r="U27" i="1"/>
  <c r="U26" i="1"/>
  <c r="V15" i="2" l="1"/>
  <c r="V33" i="2" s="1"/>
  <c r="V12" i="2"/>
  <c r="V30" i="2" s="1"/>
  <c r="U16" i="2"/>
  <c r="V13" i="2"/>
  <c r="V31" i="2" s="1"/>
  <c r="V14" i="2"/>
  <c r="V32" i="2" s="1"/>
  <c r="U28" i="2"/>
  <c r="U28" i="1"/>
  <c r="T25" i="1"/>
  <c r="T29" i="1"/>
  <c r="V27" i="1"/>
  <c r="V26" i="1"/>
  <c r="V28" i="2" l="1"/>
  <c r="W28" i="2"/>
  <c r="W12" i="2"/>
  <c r="W30" i="2" s="1"/>
  <c r="V16" i="2"/>
  <c r="W14" i="2"/>
  <c r="W32" i="2" s="1"/>
  <c r="U34" i="2"/>
  <c r="W13" i="2"/>
  <c r="W31" i="2" s="1"/>
  <c r="V34" i="2"/>
  <c r="W15" i="2"/>
  <c r="W33" i="2" s="1"/>
  <c r="V28" i="1"/>
  <c r="U25" i="1"/>
  <c r="U29" i="1"/>
  <c r="W26" i="1"/>
  <c r="W27" i="1"/>
  <c r="W16" i="2" l="1"/>
  <c r="W34" i="2"/>
  <c r="W28" i="1"/>
  <c r="V29" i="1"/>
  <c r="V25" i="1"/>
  <c r="Y27" i="1"/>
  <c r="X27" i="1"/>
  <c r="Y26" i="1"/>
  <c r="X26" i="1"/>
  <c r="Y28" i="1" l="1"/>
  <c r="X28" i="1"/>
  <c r="W25" i="1"/>
  <c r="W29" i="1"/>
  <c r="Y29" i="1" l="1"/>
  <c r="X29" i="1"/>
  <c r="Y25" i="1"/>
  <c r="X25" i="1"/>
</calcChain>
</file>

<file path=xl/sharedStrings.xml><?xml version="1.0" encoding="utf-8"?>
<sst xmlns="http://schemas.openxmlformats.org/spreadsheetml/2006/main" count="293" uniqueCount="51">
  <si>
    <t>Last</t>
  </si>
  <si>
    <t>Sprint 0 Start Date:</t>
  </si>
  <si>
    <t>Team Member 1:</t>
  </si>
  <si>
    <t>Team Member 2:</t>
  </si>
  <si>
    <t>Team Member 3:</t>
  </si>
  <si>
    <t>Team Member 4:</t>
  </si>
  <si>
    <t>Daily Velocity</t>
  </si>
  <si>
    <t>&lt;TM1&gt;</t>
  </si>
  <si>
    <t>&lt;TM2&gt;</t>
  </si>
  <si>
    <t>&lt;TM3&gt;</t>
  </si>
  <si>
    <t>&lt;TM4&gt;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</si>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</sst>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3" xfId="0" applyNumberFormat="1" applyBorder="1"/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0" fontId="3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" fillId="0" borderId="24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376168"/>
        <c:axId val="19838750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376168"/>
        <c:axId val="198387504"/>
      </c:lineChart>
      <c:catAx>
        <c:axId val="198376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87504"/>
        <c:crosses val="autoZero"/>
        <c:auto val="0"/>
        <c:lblAlgn val="ctr"/>
        <c:lblOffset val="100"/>
        <c:noMultiLvlLbl val="0"/>
      </c:catAx>
      <c:valAx>
        <c:axId val="19838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76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215024"/>
        <c:axId val="19853332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215024"/>
        <c:axId val="198533320"/>
      </c:lineChart>
      <c:catAx>
        <c:axId val="198215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33320"/>
        <c:crosses val="autoZero"/>
        <c:auto val="0"/>
        <c:lblAlgn val="ctr"/>
        <c:lblOffset val="100"/>
        <c:noMultiLvlLbl val="0"/>
      </c:catAx>
      <c:valAx>
        <c:axId val="198533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150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214576"/>
        <c:axId val="19857443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214576"/>
        <c:axId val="198574432"/>
      </c:lineChart>
      <c:catAx>
        <c:axId val="198214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74432"/>
        <c:crosses val="autoZero"/>
        <c:auto val="0"/>
        <c:lblAlgn val="ctr"/>
        <c:lblOffset val="100"/>
        <c:noMultiLvlLbl val="0"/>
      </c:catAx>
      <c:valAx>
        <c:axId val="198574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145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532896"/>
        <c:axId val="19712726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532896"/>
        <c:axId val="197127264"/>
      </c:lineChart>
      <c:catAx>
        <c:axId val="198532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27264"/>
        <c:crosses val="autoZero"/>
        <c:auto val="0"/>
        <c:lblAlgn val="ctr"/>
        <c:lblOffset val="100"/>
        <c:noMultiLvlLbl val="0"/>
      </c:catAx>
      <c:valAx>
        <c:axId val="1971272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328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130008"/>
        <c:axId val="19713040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30008"/>
        <c:axId val="197130400"/>
      </c:lineChart>
      <c:catAx>
        <c:axId val="197130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30400"/>
        <c:crosses val="autoZero"/>
        <c:auto val="0"/>
        <c:lblAlgn val="ctr"/>
        <c:lblOffset val="100"/>
        <c:noMultiLvlLbl val="0"/>
      </c:catAx>
      <c:valAx>
        <c:axId val="1971304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300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131184"/>
        <c:axId val="19713157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31184"/>
        <c:axId val="197131576"/>
      </c:lineChart>
      <c:catAx>
        <c:axId val="197131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31576"/>
        <c:crosses val="autoZero"/>
        <c:auto val="1"/>
        <c:lblAlgn val="ctr"/>
        <c:lblOffset val="100"/>
        <c:noMultiLvlLbl val="1"/>
      </c:catAx>
      <c:valAx>
        <c:axId val="197131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3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645536"/>
        <c:axId val="25064592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645536"/>
        <c:axId val="250645928"/>
      </c:lineChart>
      <c:catAx>
        <c:axId val="25064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645928"/>
        <c:crosses val="autoZero"/>
        <c:auto val="1"/>
        <c:lblAlgn val="ctr"/>
        <c:lblOffset val="100"/>
        <c:noMultiLvlLbl val="1"/>
      </c:catAx>
      <c:valAx>
        <c:axId val="2506459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6455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129224"/>
        <c:axId val="19712883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29224"/>
        <c:axId val="197128832"/>
      </c:lineChart>
      <c:catAx>
        <c:axId val="197129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28832"/>
        <c:crosses val="autoZero"/>
        <c:auto val="1"/>
        <c:lblAlgn val="ctr"/>
        <c:lblOffset val="100"/>
        <c:noMultiLvlLbl val="1"/>
      </c:catAx>
      <c:valAx>
        <c:axId val="1971288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292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129616"/>
        <c:axId val="19712804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29616"/>
        <c:axId val="197128048"/>
      </c:lineChart>
      <c:catAx>
        <c:axId val="197129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28048"/>
        <c:crosses val="autoZero"/>
        <c:auto val="1"/>
        <c:lblAlgn val="ctr"/>
        <c:lblOffset val="100"/>
        <c:noMultiLvlLbl val="1"/>
      </c:catAx>
      <c:valAx>
        <c:axId val="1971280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296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647104"/>
        <c:axId val="25064749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647104"/>
        <c:axId val="250647496"/>
      </c:lineChart>
      <c:catAx>
        <c:axId val="250647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647496"/>
        <c:crosses val="autoZero"/>
        <c:auto val="1"/>
        <c:lblAlgn val="ctr"/>
        <c:lblOffset val="100"/>
        <c:noMultiLvlLbl val="1"/>
      </c:catAx>
      <c:valAx>
        <c:axId val="250647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6471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648280"/>
        <c:axId val="250648672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648280"/>
        <c:axId val="250648672"/>
      </c:lineChart>
      <c:catAx>
        <c:axId val="250648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648672"/>
        <c:crosses val="autoZero"/>
        <c:auto val="0"/>
        <c:lblAlgn val="ctr"/>
        <c:lblOffset val="100"/>
        <c:noMultiLvlLbl val="1"/>
      </c:catAx>
      <c:valAx>
        <c:axId val="25064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648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649456"/>
        <c:axId val="250649848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649456"/>
        <c:axId val="250649848"/>
      </c:lineChart>
      <c:catAx>
        <c:axId val="250649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649848"/>
        <c:crosses val="autoZero"/>
        <c:auto val="1"/>
        <c:lblAlgn val="ctr"/>
        <c:lblOffset val="100"/>
        <c:noMultiLvlLbl val="1"/>
      </c:catAx>
      <c:valAx>
        <c:axId val="250649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6494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650632"/>
        <c:axId val="25065102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650632"/>
        <c:axId val="250651024"/>
      </c:lineChart>
      <c:catAx>
        <c:axId val="250650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651024"/>
        <c:crosses val="autoZero"/>
        <c:auto val="1"/>
        <c:lblAlgn val="ctr"/>
        <c:lblOffset val="100"/>
        <c:noMultiLvlLbl val="1"/>
      </c:catAx>
      <c:valAx>
        <c:axId val="2506510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6506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651808"/>
        <c:axId val="25065220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651808"/>
        <c:axId val="250652200"/>
      </c:lineChart>
      <c:catAx>
        <c:axId val="250651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652200"/>
        <c:crosses val="autoZero"/>
        <c:auto val="1"/>
        <c:lblAlgn val="ctr"/>
        <c:lblOffset val="100"/>
        <c:noMultiLvlLbl val="1"/>
      </c:catAx>
      <c:valAx>
        <c:axId val="250652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6518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652984"/>
        <c:axId val="250859368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652984"/>
        <c:axId val="250859368"/>
      </c:lineChart>
      <c:catAx>
        <c:axId val="250652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859368"/>
        <c:crosses val="autoZero"/>
        <c:auto val="1"/>
        <c:lblAlgn val="ctr"/>
        <c:lblOffset val="100"/>
        <c:noMultiLvlLbl val="1"/>
      </c:catAx>
      <c:valAx>
        <c:axId val="250859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652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2719024"/>
        <c:axId val="352716672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719024"/>
        <c:axId val="352716672"/>
      </c:lineChart>
      <c:catAx>
        <c:axId val="352719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16672"/>
        <c:crosses val="autoZero"/>
        <c:auto val="0"/>
        <c:lblAlgn val="ctr"/>
        <c:lblOffset val="100"/>
        <c:noMultiLvlLbl val="1"/>
      </c:catAx>
      <c:valAx>
        <c:axId val="35271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71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5226568"/>
        <c:axId val="25522617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226568"/>
        <c:axId val="255226176"/>
      </c:lineChart>
      <c:catAx>
        <c:axId val="255226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226176"/>
        <c:crosses val="autoZero"/>
        <c:auto val="1"/>
        <c:lblAlgn val="ctr"/>
        <c:lblOffset val="100"/>
        <c:noMultiLvlLbl val="1"/>
      </c:catAx>
      <c:valAx>
        <c:axId val="2552261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2265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5232840"/>
        <c:axId val="255232448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232840"/>
        <c:axId val="255232448"/>
      </c:lineChart>
      <c:catAx>
        <c:axId val="255232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232448"/>
        <c:crosses val="autoZero"/>
        <c:auto val="1"/>
        <c:lblAlgn val="ctr"/>
        <c:lblOffset val="100"/>
        <c:noMultiLvlLbl val="1"/>
      </c:catAx>
      <c:valAx>
        <c:axId val="2552324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2328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5231664"/>
        <c:axId val="25523127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231664"/>
        <c:axId val="255231272"/>
      </c:lineChart>
      <c:catAx>
        <c:axId val="255231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231272"/>
        <c:crosses val="autoZero"/>
        <c:auto val="1"/>
        <c:lblAlgn val="ctr"/>
        <c:lblOffset val="100"/>
        <c:noMultiLvlLbl val="1"/>
      </c:catAx>
      <c:valAx>
        <c:axId val="255231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2316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5230488"/>
        <c:axId val="25523009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230488"/>
        <c:axId val="255230096"/>
      </c:lineChart>
      <c:catAx>
        <c:axId val="255230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230096"/>
        <c:crosses val="autoZero"/>
        <c:auto val="1"/>
        <c:lblAlgn val="ctr"/>
        <c:lblOffset val="100"/>
        <c:noMultiLvlLbl val="1"/>
      </c:catAx>
      <c:valAx>
        <c:axId val="2552300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2304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2129232"/>
        <c:axId val="252136680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129232"/>
        <c:axId val="252136680"/>
      </c:lineChart>
      <c:catAx>
        <c:axId val="252129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136680"/>
        <c:crosses val="autoZero"/>
        <c:auto val="0"/>
        <c:lblAlgn val="ctr"/>
        <c:lblOffset val="100"/>
        <c:noMultiLvlLbl val="1"/>
      </c:catAx>
      <c:valAx>
        <c:axId val="252136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12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2136288"/>
        <c:axId val="25213550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136288"/>
        <c:axId val="252135504"/>
      </c:lineChart>
      <c:catAx>
        <c:axId val="252136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135504"/>
        <c:crosses val="autoZero"/>
        <c:auto val="1"/>
        <c:lblAlgn val="ctr"/>
        <c:lblOffset val="100"/>
        <c:noMultiLvlLbl val="1"/>
      </c:catAx>
      <c:valAx>
        <c:axId val="2521355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1362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2134720"/>
        <c:axId val="25213432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134720"/>
        <c:axId val="252134328"/>
      </c:lineChart>
      <c:catAx>
        <c:axId val="252134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134328"/>
        <c:crosses val="autoZero"/>
        <c:auto val="1"/>
        <c:lblAlgn val="ctr"/>
        <c:lblOffset val="100"/>
        <c:noMultiLvlLbl val="1"/>
      </c:catAx>
      <c:valAx>
        <c:axId val="2521343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1347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865248"/>
        <c:axId val="250864856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865248"/>
        <c:axId val="250864856"/>
      </c:lineChart>
      <c:catAx>
        <c:axId val="250865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864856"/>
        <c:crosses val="autoZero"/>
        <c:auto val="1"/>
        <c:lblAlgn val="ctr"/>
        <c:lblOffset val="100"/>
        <c:noMultiLvlLbl val="1"/>
      </c:catAx>
      <c:valAx>
        <c:axId val="2508648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8652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864072"/>
        <c:axId val="250863680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864072"/>
        <c:axId val="250863680"/>
      </c:lineChart>
      <c:catAx>
        <c:axId val="250864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863680"/>
        <c:crosses val="autoZero"/>
        <c:auto val="1"/>
        <c:lblAlgn val="ctr"/>
        <c:lblOffset val="100"/>
        <c:noMultiLvlLbl val="1"/>
      </c:catAx>
      <c:valAx>
        <c:axId val="250863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8640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3530008"/>
        <c:axId val="253529616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530008"/>
        <c:axId val="253529616"/>
      </c:lineChart>
      <c:catAx>
        <c:axId val="253530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529616"/>
        <c:crosses val="autoZero"/>
        <c:auto val="0"/>
        <c:lblAlgn val="ctr"/>
        <c:lblOffset val="100"/>
        <c:noMultiLvlLbl val="1"/>
      </c:catAx>
      <c:valAx>
        <c:axId val="25352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530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3528440"/>
        <c:axId val="25352804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528440"/>
        <c:axId val="253528048"/>
      </c:lineChart>
      <c:catAx>
        <c:axId val="253528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528048"/>
        <c:crosses val="autoZero"/>
        <c:auto val="1"/>
        <c:lblAlgn val="ctr"/>
        <c:lblOffset val="100"/>
        <c:noMultiLvlLbl val="1"/>
      </c:catAx>
      <c:valAx>
        <c:axId val="2535280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5284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3533928"/>
        <c:axId val="27268986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533928"/>
        <c:axId val="272689864"/>
      </c:lineChart>
      <c:catAx>
        <c:axId val="253533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689864"/>
        <c:crosses val="autoZero"/>
        <c:auto val="1"/>
        <c:lblAlgn val="ctr"/>
        <c:lblOffset val="100"/>
        <c:noMultiLvlLbl val="1"/>
      </c:catAx>
      <c:valAx>
        <c:axId val="2726898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533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2686728"/>
        <c:axId val="27268555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686728"/>
        <c:axId val="272685552"/>
      </c:lineChart>
      <c:catAx>
        <c:axId val="272686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685552"/>
        <c:crosses val="autoZero"/>
        <c:auto val="1"/>
        <c:lblAlgn val="ctr"/>
        <c:lblOffset val="100"/>
        <c:noMultiLvlLbl val="1"/>
      </c:catAx>
      <c:valAx>
        <c:axId val="2726855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6867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2683984"/>
        <c:axId val="27268359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683984"/>
        <c:axId val="272683592"/>
      </c:lineChart>
      <c:catAx>
        <c:axId val="272683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683592"/>
        <c:crosses val="autoZero"/>
        <c:auto val="1"/>
        <c:lblAlgn val="ctr"/>
        <c:lblOffset val="100"/>
        <c:noMultiLvlLbl val="1"/>
      </c:catAx>
      <c:valAx>
        <c:axId val="2726835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683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5620840"/>
        <c:axId val="275620448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620840"/>
        <c:axId val="275620448"/>
      </c:lineChart>
      <c:catAx>
        <c:axId val="275620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620448"/>
        <c:crosses val="autoZero"/>
        <c:auto val="0"/>
        <c:lblAlgn val="ctr"/>
        <c:lblOffset val="100"/>
        <c:noMultiLvlLbl val="1"/>
      </c:catAx>
      <c:valAx>
        <c:axId val="2756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620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7520960"/>
        <c:axId val="26752174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520960"/>
        <c:axId val="267521744"/>
      </c:lineChart>
      <c:catAx>
        <c:axId val="267520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521744"/>
        <c:crosses val="autoZero"/>
        <c:auto val="1"/>
        <c:lblAlgn val="ctr"/>
        <c:lblOffset val="100"/>
        <c:noMultiLvlLbl val="1"/>
      </c:catAx>
      <c:valAx>
        <c:axId val="2675217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5209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7525272"/>
        <c:axId val="26752252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525272"/>
        <c:axId val="267522528"/>
      </c:lineChart>
      <c:catAx>
        <c:axId val="267525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522528"/>
        <c:crosses val="autoZero"/>
        <c:auto val="1"/>
        <c:lblAlgn val="ctr"/>
        <c:lblOffset val="100"/>
        <c:noMultiLvlLbl val="1"/>
      </c:catAx>
      <c:valAx>
        <c:axId val="2675225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525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7523704"/>
        <c:axId val="26752331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523704"/>
        <c:axId val="267523312"/>
      </c:lineChart>
      <c:catAx>
        <c:axId val="267523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523312"/>
        <c:crosses val="autoZero"/>
        <c:auto val="1"/>
        <c:lblAlgn val="ctr"/>
        <c:lblOffset val="100"/>
        <c:noMultiLvlLbl val="1"/>
      </c:catAx>
      <c:valAx>
        <c:axId val="2675233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5237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7524096"/>
        <c:axId val="26752488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524096"/>
        <c:axId val="267524880"/>
      </c:lineChart>
      <c:catAx>
        <c:axId val="267524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524880"/>
        <c:crosses val="autoZero"/>
        <c:auto val="1"/>
        <c:lblAlgn val="ctr"/>
        <c:lblOffset val="100"/>
        <c:noMultiLvlLbl val="1"/>
      </c:catAx>
      <c:valAx>
        <c:axId val="2675248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5240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5663816"/>
        <c:axId val="349581536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663816"/>
        <c:axId val="349581536"/>
      </c:lineChart>
      <c:catAx>
        <c:axId val="255663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81536"/>
        <c:crosses val="autoZero"/>
        <c:auto val="0"/>
        <c:lblAlgn val="ctr"/>
        <c:lblOffset val="100"/>
        <c:noMultiLvlLbl val="1"/>
      </c:catAx>
      <c:valAx>
        <c:axId val="34958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663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9582320"/>
        <c:axId val="34958271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582320"/>
        <c:axId val="349582712"/>
      </c:lineChart>
      <c:catAx>
        <c:axId val="349582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82712"/>
        <c:crosses val="autoZero"/>
        <c:auto val="1"/>
        <c:lblAlgn val="ctr"/>
        <c:lblOffset val="100"/>
        <c:noMultiLvlLbl val="1"/>
      </c:catAx>
      <c:valAx>
        <c:axId val="349582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823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9583496"/>
        <c:axId val="34958388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583496"/>
        <c:axId val="349583888"/>
      </c:lineChart>
      <c:catAx>
        <c:axId val="349583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83888"/>
        <c:crosses val="autoZero"/>
        <c:auto val="1"/>
        <c:lblAlgn val="ctr"/>
        <c:lblOffset val="100"/>
        <c:noMultiLvlLbl val="1"/>
      </c:catAx>
      <c:valAx>
        <c:axId val="3495838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834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9584672"/>
        <c:axId val="34958506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584672"/>
        <c:axId val="349585064"/>
      </c:lineChart>
      <c:catAx>
        <c:axId val="349584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85064"/>
        <c:crosses val="autoZero"/>
        <c:auto val="1"/>
        <c:lblAlgn val="ctr"/>
        <c:lblOffset val="100"/>
        <c:noMultiLvlLbl val="1"/>
      </c:catAx>
      <c:valAx>
        <c:axId val="349585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846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9585848"/>
        <c:axId val="34958624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585848"/>
        <c:axId val="349586240"/>
      </c:lineChart>
      <c:catAx>
        <c:axId val="349585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86240"/>
        <c:crosses val="autoZero"/>
        <c:auto val="1"/>
        <c:lblAlgn val="ctr"/>
        <c:lblOffset val="100"/>
        <c:noMultiLvlLbl val="1"/>
      </c:catAx>
      <c:valAx>
        <c:axId val="349586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858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4710784"/>
        <c:axId val="274711176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710784"/>
        <c:axId val="274711176"/>
      </c:lineChart>
      <c:catAx>
        <c:axId val="274710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711176"/>
        <c:crosses val="autoZero"/>
        <c:auto val="0"/>
        <c:lblAlgn val="ctr"/>
        <c:lblOffset val="100"/>
        <c:noMultiLvlLbl val="1"/>
      </c:catAx>
      <c:valAx>
        <c:axId val="274711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71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5384016"/>
        <c:axId val="26538166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384016"/>
        <c:axId val="265381664"/>
      </c:lineChart>
      <c:catAx>
        <c:axId val="265384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5381664"/>
        <c:crosses val="autoZero"/>
        <c:auto val="1"/>
        <c:lblAlgn val="ctr"/>
        <c:lblOffset val="100"/>
        <c:noMultiLvlLbl val="1"/>
      </c:catAx>
      <c:valAx>
        <c:axId val="265381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53840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2690256"/>
        <c:axId val="27268868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690256"/>
        <c:axId val="272688688"/>
      </c:lineChart>
      <c:catAx>
        <c:axId val="272690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688688"/>
        <c:crosses val="autoZero"/>
        <c:auto val="1"/>
        <c:lblAlgn val="ctr"/>
        <c:lblOffset val="100"/>
        <c:noMultiLvlLbl val="1"/>
      </c:catAx>
      <c:valAx>
        <c:axId val="2726886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6902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5229312"/>
        <c:axId val="35018172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229312"/>
        <c:axId val="350181728"/>
      </c:lineChart>
      <c:catAx>
        <c:axId val="255229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81728"/>
        <c:crosses val="autoZero"/>
        <c:auto val="1"/>
        <c:lblAlgn val="ctr"/>
        <c:lblOffset val="100"/>
        <c:noMultiLvlLbl val="1"/>
      </c:catAx>
      <c:valAx>
        <c:axId val="3501817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229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0182512"/>
        <c:axId val="35018290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82512"/>
        <c:axId val="350182904"/>
      </c:lineChart>
      <c:catAx>
        <c:axId val="35018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82904"/>
        <c:crosses val="autoZero"/>
        <c:auto val="1"/>
        <c:lblAlgn val="ctr"/>
        <c:lblOffset val="100"/>
        <c:noMultiLvlLbl val="1"/>
      </c:catAx>
      <c:valAx>
        <c:axId val="3501829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825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0190744"/>
        <c:axId val="350191136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90744"/>
        <c:axId val="350191136"/>
      </c:lineChart>
      <c:catAx>
        <c:axId val="350190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1136"/>
        <c:crosses val="autoZero"/>
        <c:auto val="0"/>
        <c:lblAlgn val="ctr"/>
        <c:lblOffset val="100"/>
        <c:noMultiLvlLbl val="1"/>
      </c:catAx>
      <c:valAx>
        <c:axId val="35019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0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0191920"/>
        <c:axId val="35019231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91920"/>
        <c:axId val="350192312"/>
      </c:lineChart>
      <c:catAx>
        <c:axId val="350191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2312"/>
        <c:crosses val="autoZero"/>
        <c:auto val="1"/>
        <c:lblAlgn val="ctr"/>
        <c:lblOffset val="100"/>
        <c:noMultiLvlLbl val="1"/>
      </c:catAx>
      <c:valAx>
        <c:axId val="3501923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19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0193096"/>
        <c:axId val="35019348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93096"/>
        <c:axId val="350193488"/>
      </c:lineChart>
      <c:catAx>
        <c:axId val="350193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3488"/>
        <c:crosses val="autoZero"/>
        <c:auto val="1"/>
        <c:lblAlgn val="ctr"/>
        <c:lblOffset val="100"/>
        <c:noMultiLvlLbl val="1"/>
      </c:catAx>
      <c:valAx>
        <c:axId val="350193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30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0194272"/>
        <c:axId val="35019466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94272"/>
        <c:axId val="350194664"/>
      </c:lineChart>
      <c:catAx>
        <c:axId val="35019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4664"/>
        <c:crosses val="autoZero"/>
        <c:auto val="1"/>
        <c:lblAlgn val="ctr"/>
        <c:lblOffset val="100"/>
        <c:noMultiLvlLbl val="1"/>
      </c:catAx>
      <c:valAx>
        <c:axId val="350194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4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0195448"/>
        <c:axId val="35019584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95448"/>
        <c:axId val="350195840"/>
      </c:lineChart>
      <c:catAx>
        <c:axId val="350195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5840"/>
        <c:crosses val="autoZero"/>
        <c:auto val="1"/>
        <c:lblAlgn val="ctr"/>
        <c:lblOffset val="100"/>
        <c:noMultiLvlLbl val="1"/>
      </c:catAx>
      <c:valAx>
        <c:axId val="350195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54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834280"/>
        <c:axId val="251834672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834280"/>
        <c:axId val="251834672"/>
      </c:lineChart>
      <c:catAx>
        <c:axId val="251834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834672"/>
        <c:crosses val="autoZero"/>
        <c:auto val="0"/>
        <c:lblAlgn val="ctr"/>
        <c:lblOffset val="100"/>
        <c:noMultiLvlLbl val="1"/>
      </c:catAx>
      <c:valAx>
        <c:axId val="25183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834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835456"/>
        <c:axId val="25183584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835456"/>
        <c:axId val="251835848"/>
      </c:lineChart>
      <c:catAx>
        <c:axId val="251835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835848"/>
        <c:crosses val="autoZero"/>
        <c:auto val="1"/>
        <c:lblAlgn val="ctr"/>
        <c:lblOffset val="100"/>
        <c:noMultiLvlLbl val="1"/>
      </c:catAx>
      <c:valAx>
        <c:axId val="251835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8354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836632"/>
        <c:axId val="25183702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836632"/>
        <c:axId val="251837024"/>
      </c:lineChart>
      <c:catAx>
        <c:axId val="251836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837024"/>
        <c:crosses val="autoZero"/>
        <c:auto val="1"/>
        <c:lblAlgn val="ctr"/>
        <c:lblOffset val="100"/>
        <c:noMultiLvlLbl val="1"/>
      </c:catAx>
      <c:valAx>
        <c:axId val="2518370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8366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837808"/>
        <c:axId val="251838200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837808"/>
        <c:axId val="251838200"/>
      </c:lineChart>
      <c:catAx>
        <c:axId val="251837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838200"/>
        <c:crosses val="autoZero"/>
        <c:auto val="1"/>
        <c:lblAlgn val="ctr"/>
        <c:lblOffset val="100"/>
        <c:noMultiLvlLbl val="1"/>
      </c:catAx>
      <c:valAx>
        <c:axId val="251838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8378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838984"/>
        <c:axId val="25183937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838984"/>
        <c:axId val="251839376"/>
      </c:lineChart>
      <c:catAx>
        <c:axId val="251838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839376"/>
        <c:crosses val="autoZero"/>
        <c:auto val="1"/>
        <c:lblAlgn val="ctr"/>
        <c:lblOffset val="100"/>
        <c:noMultiLvlLbl val="1"/>
      </c:catAx>
      <c:valAx>
        <c:axId val="2518393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838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742552"/>
        <c:axId val="413742944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42552"/>
        <c:axId val="413742944"/>
      </c:lineChart>
      <c:catAx>
        <c:axId val="413742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42944"/>
        <c:crosses val="autoZero"/>
        <c:auto val="0"/>
        <c:lblAlgn val="ctr"/>
        <c:lblOffset val="100"/>
        <c:noMultiLvlLbl val="1"/>
      </c:catAx>
      <c:valAx>
        <c:axId val="41374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4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743728"/>
        <c:axId val="413744120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43728"/>
        <c:axId val="413744120"/>
      </c:lineChart>
      <c:catAx>
        <c:axId val="413743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44120"/>
        <c:crosses val="autoZero"/>
        <c:auto val="1"/>
        <c:lblAlgn val="ctr"/>
        <c:lblOffset val="100"/>
        <c:noMultiLvlLbl val="1"/>
      </c:catAx>
      <c:valAx>
        <c:axId val="4137441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437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744904"/>
        <c:axId val="41374529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44904"/>
        <c:axId val="413745296"/>
      </c:lineChart>
      <c:catAx>
        <c:axId val="413744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45296"/>
        <c:crosses val="autoZero"/>
        <c:auto val="1"/>
        <c:lblAlgn val="ctr"/>
        <c:lblOffset val="100"/>
        <c:noMultiLvlLbl val="1"/>
      </c:catAx>
      <c:valAx>
        <c:axId val="4137452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449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746080"/>
        <c:axId val="41374647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46080"/>
        <c:axId val="413746472"/>
      </c:lineChart>
      <c:catAx>
        <c:axId val="413746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46472"/>
        <c:crosses val="autoZero"/>
        <c:auto val="1"/>
        <c:lblAlgn val="ctr"/>
        <c:lblOffset val="100"/>
        <c:noMultiLvlLbl val="1"/>
      </c:catAx>
      <c:valAx>
        <c:axId val="4137464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460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747256"/>
        <c:axId val="41374764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47256"/>
        <c:axId val="413747648"/>
      </c:lineChart>
      <c:catAx>
        <c:axId val="413747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47648"/>
        <c:crosses val="autoZero"/>
        <c:auto val="1"/>
        <c:lblAlgn val="ctr"/>
        <c:lblOffset val="100"/>
        <c:noMultiLvlLbl val="1"/>
      </c:catAx>
      <c:valAx>
        <c:axId val="413747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472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&lt;TM1&gt;, 1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&lt;TM2&gt;, 2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&lt;TM3&gt;, 3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&lt;TM4&gt;, 4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&lt;TM1&gt;, 1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&lt;TM2&gt;, 2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&lt;TM3&gt;, 3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&lt;TM4&gt;, 4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&lt;TM1&gt;, 1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&lt;TM2&gt;, 2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&lt;TM3&gt;, 3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&lt;TM4&gt;, 4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&lt;TM1&gt;, 1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&lt;TM2&gt;, 2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&lt;TM3&gt;, 3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&lt;TM4&gt;, 4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&lt;TM1&gt;, 1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&lt;TM2&gt;, 2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&lt;TM3&gt;, 3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&lt;TM4&gt;, 4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&lt;TM1&gt;, 1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&lt;TM2&gt;, 2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&lt;TM3&gt;, 3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&lt;TM4&gt;, 4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&lt;TM1&gt;, 1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&lt;TM2&gt;, 2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&lt;TM3&gt;, 3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&lt;TM4&gt;, 4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&lt;TM1&gt;, 1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&lt;TM2&gt;, 2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&lt;TM3&gt;, 3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&lt;TM4&gt;, 4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&lt;TM1&gt;, 1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&lt;TM2&gt;, 2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&lt;TM3&gt;, 3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&lt;TM4&gt;, 4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&lt;TM1&gt;, 1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&lt;TM2&gt;, 2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&lt;TM3&gt;, 3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&lt;TM4&gt;, 4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&lt;TM1&gt;, 1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&lt;TM2&gt;, 2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&lt;TM3&gt;, 3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&lt;TM4&gt;, 4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&lt;TM1&gt;, 1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&lt;TM2&gt;, 2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&lt;TM3&gt;, 3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&lt;TM4&gt;, 4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abSelected="1" topLeftCell="B1" workbookViewId="0">
      <selection activeCell="N41" sqref="N41"/>
    </sheetView>
  </sheetViews>
  <sheetFormatPr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72" t="s">
        <v>29</v>
      </c>
      <c r="D1" s="73"/>
      <c r="E1" s="73"/>
      <c r="F1" s="73"/>
      <c r="G1" s="73"/>
      <c r="H1" s="73"/>
      <c r="I1" s="73"/>
      <c r="J1" s="73"/>
      <c r="K1" s="73"/>
      <c r="L1" s="73"/>
      <c r="M1" s="73"/>
    </row>
    <row r="2" spans="1:25" s="10" customFormat="1" x14ac:dyDescent="0.25">
      <c r="C2" s="28" t="s">
        <v>42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1" t="s">
        <v>41</v>
      </c>
      <c r="C3" s="69" t="s">
        <v>27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 t="s">
        <v>28</v>
      </c>
      <c r="O3" s="70"/>
      <c r="P3" s="70"/>
      <c r="Q3" s="70"/>
      <c r="R3" s="70"/>
      <c r="S3" s="70"/>
      <c r="T3" s="70"/>
      <c r="U3" s="70"/>
      <c r="V3" s="70"/>
      <c r="W3" s="70"/>
      <c r="X3" s="70"/>
      <c r="Y3" s="71"/>
    </row>
    <row r="4" spans="1:25" ht="15.75" x14ac:dyDescent="0.25">
      <c r="C4" s="68" t="s">
        <v>17</v>
      </c>
      <c r="D4" s="68"/>
      <c r="E4" s="68"/>
      <c r="F4" s="68" t="s">
        <v>16</v>
      </c>
      <c r="G4" s="68"/>
      <c r="H4" s="68" t="s">
        <v>18</v>
      </c>
      <c r="I4" s="68"/>
      <c r="J4" s="68" t="s">
        <v>19</v>
      </c>
      <c r="K4" s="68"/>
      <c r="L4" s="74" t="s">
        <v>20</v>
      </c>
      <c r="M4" s="75"/>
      <c r="N4" s="75" t="s">
        <v>21</v>
      </c>
      <c r="O4" s="76"/>
      <c r="P4" s="68" t="s">
        <v>22</v>
      </c>
      <c r="Q4" s="68"/>
      <c r="R4" s="68" t="s">
        <v>23</v>
      </c>
      <c r="S4" s="68"/>
      <c r="T4" s="68" t="s">
        <v>24</v>
      </c>
      <c r="U4" s="68"/>
      <c r="V4" s="68" t="s">
        <v>25</v>
      </c>
      <c r="W4" s="68"/>
      <c r="X4" s="68" t="s">
        <v>26</v>
      </c>
      <c r="Y4" s="68"/>
    </row>
    <row r="5" spans="1:25" s="6" customFormat="1" ht="12.75" x14ac:dyDescent="0.2">
      <c r="B5" s="5" t="s">
        <v>14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15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87" t="s">
        <v>49</v>
      </c>
      <c r="B7" s="8" t="str">
        <f xml:space="preserve"> CONCATENATE(Setup!$B$7, ", ", LEFT(Setup!$C$7,2))</f>
        <v>&lt;TM1&gt;, 1</v>
      </c>
      <c r="C7" s="25">
        <f>SUM('Sprint 0'!C6:I6)</f>
        <v>0</v>
      </c>
      <c r="D7" s="25">
        <f>SUM('Sprint 0'!J6:P6)</f>
        <v>0</v>
      </c>
      <c r="E7" s="25">
        <f>SUM('Sprint 0'!Q6:W6)</f>
        <v>0</v>
      </c>
      <c r="F7" s="25">
        <f>SUM('Sprint 1'!C6:I6)</f>
        <v>0</v>
      </c>
      <c r="G7" s="25">
        <f>SUM('Sprint 1'!J6:P6)</f>
        <v>0</v>
      </c>
      <c r="H7" s="25">
        <f>SUM('Sprint 2'!C6:I6)</f>
        <v>0</v>
      </c>
      <c r="I7" s="25">
        <f>SUM('Sprint 2'!J6:P6)</f>
        <v>0</v>
      </c>
      <c r="J7" s="25">
        <f>SUM('Sprint 3'!C6:I6)</f>
        <v>0</v>
      </c>
      <c r="K7" s="25">
        <f>SUM('Sprint 3'!J6:P6)</f>
        <v>0</v>
      </c>
      <c r="L7" s="25">
        <f>SUM('Sprint 4'!C6:I6)</f>
        <v>0</v>
      </c>
      <c r="M7" s="25">
        <f>SUM('Sprint 4'!J6:P6)</f>
        <v>0</v>
      </c>
      <c r="N7" s="46">
        <f>SUM('Sprint 5'!C6:I6)</f>
        <v>0</v>
      </c>
      <c r="O7" s="22">
        <f>SUM('Sprint 5'!J6:P6)</f>
        <v>0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87"/>
      <c r="B8" s="8" t="str">
        <f xml:space="preserve"> CONCATENATE(Setup!$B$8, ", ", LEFT(Setup!$C$8,2))</f>
        <v>&lt;TM2&gt;, 2</v>
      </c>
      <c r="C8" s="25">
        <f>SUM('Sprint 0'!C7:I7)</f>
        <v>0</v>
      </c>
      <c r="D8" s="25">
        <f>SUM('Sprint 0'!J7:P7)</f>
        <v>0</v>
      </c>
      <c r="E8" s="25">
        <f>SUM('Sprint 0'!Q7:W7)</f>
        <v>0</v>
      </c>
      <c r="F8" s="25">
        <f>'Sprint 1'!C26</f>
        <v>0</v>
      </c>
      <c r="G8" s="25">
        <f>SUM('Sprint 1'!J7:P7)</f>
        <v>0</v>
      </c>
      <c r="H8" s="25">
        <f>SUM('Sprint 2'!C7:I7)</f>
        <v>0</v>
      </c>
      <c r="I8" s="25">
        <f>SUM('Sprint 2'!J7:P7)</f>
        <v>0</v>
      </c>
      <c r="J8" s="25">
        <f>SUM('Sprint 3'!C7:I7)</f>
        <v>0</v>
      </c>
      <c r="K8" s="25">
        <f>SUM('Sprint 3'!J7:P7)</f>
        <v>0</v>
      </c>
      <c r="L8" s="25">
        <f>SUM('Sprint 4'!C7:I7)</f>
        <v>0</v>
      </c>
      <c r="M8" s="25">
        <f>SUM('Sprint 4'!J7:P7)</f>
        <v>0</v>
      </c>
      <c r="N8" s="46">
        <f>SUM('Sprint 5'!C7:I7)</f>
        <v>0</v>
      </c>
      <c r="O8" s="22">
        <f>SUM('Sprint 5'!J7:P7)</f>
        <v>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87"/>
      <c r="B9" s="8" t="str">
        <f xml:space="preserve"> CONCATENATE(Setup!$B$9, ", ", LEFT(Setup!$C$9,2))</f>
        <v>&lt;TM3&gt;, 3</v>
      </c>
      <c r="C9" s="25">
        <f>SUM('Sprint 0'!C8:I8)</f>
        <v>0</v>
      </c>
      <c r="D9" s="25">
        <f>SUM('Sprint 0'!J8:P8)</f>
        <v>0</v>
      </c>
      <c r="E9" s="25">
        <f>SUM('Sprint 0'!Q8:W8)</f>
        <v>0</v>
      </c>
      <c r="F9" s="25">
        <f>'Sprint 1'!C27</f>
        <v>0</v>
      </c>
      <c r="G9" s="25">
        <f>SUM('Sprint 1'!J8:P8)</f>
        <v>0</v>
      </c>
      <c r="H9" s="25">
        <f>SUM('Sprint 2'!C8:I8)</f>
        <v>0</v>
      </c>
      <c r="I9" s="25">
        <f>SUM('Sprint 2'!J8:P8)</f>
        <v>0</v>
      </c>
      <c r="J9" s="25">
        <f>SUM('Sprint 3'!C8:I8)</f>
        <v>0</v>
      </c>
      <c r="K9" s="25">
        <f>SUM('Sprint 3'!J8:P8)</f>
        <v>0</v>
      </c>
      <c r="L9" s="25">
        <f>SUM('Sprint 4'!C8:I8)</f>
        <v>0</v>
      </c>
      <c r="M9" s="25">
        <f>SUM('Sprint 4'!J8:P8)</f>
        <v>0</v>
      </c>
      <c r="N9" s="46">
        <f>SUM('Sprint 5'!C8:I8)</f>
        <v>0</v>
      </c>
      <c r="O9" s="22">
        <f>SUM('Sprint 5'!J8:P8)</f>
        <v>0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87"/>
      <c r="B10" s="8" t="str">
        <f xml:space="preserve"> CONCATENATE(Setup!$B$10, ", ", LEFT(Setup!$C$10,2))</f>
        <v>&lt;TM4&gt;, 4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'Sprint 1'!C28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6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87"/>
      <c r="B11" s="9" t="s">
        <v>35</v>
      </c>
      <c r="C11" s="21">
        <f xml:space="preserve"> SUM(C7:C10)</f>
        <v>0</v>
      </c>
      <c r="D11" s="21">
        <f t="shared" ref="D11:M11" si="2" xml:space="preserve"> SUM(D7:D10)</f>
        <v>0</v>
      </c>
      <c r="E11" s="21">
        <f t="shared" si="2"/>
        <v>0</v>
      </c>
      <c r="F11" s="21">
        <f t="shared" si="2"/>
        <v>0</v>
      </c>
      <c r="G11" s="21">
        <f t="shared" si="2"/>
        <v>0</v>
      </c>
      <c r="H11" s="21">
        <f t="shared" si="2"/>
        <v>0</v>
      </c>
      <c r="I11" s="21">
        <f t="shared" si="2"/>
        <v>0</v>
      </c>
      <c r="J11" s="21">
        <f t="shared" si="2"/>
        <v>0</v>
      </c>
      <c r="K11" s="21">
        <f t="shared" si="2"/>
        <v>0</v>
      </c>
      <c r="L11" s="21">
        <f t="shared" si="2"/>
        <v>0</v>
      </c>
      <c r="M11" s="21">
        <f t="shared" si="2"/>
        <v>0</v>
      </c>
      <c r="N11" s="48">
        <f>SUM(N7:N10)</f>
        <v>0</v>
      </c>
      <c r="O11" s="66">
        <f t="shared" ref="O11:Y11" si="3">SUM(O7:O10)</f>
        <v>0</v>
      </c>
      <c r="P11" s="66">
        <f t="shared" si="3"/>
        <v>0</v>
      </c>
      <c r="Q11" s="66">
        <f t="shared" si="3"/>
        <v>0</v>
      </c>
      <c r="R11" s="66">
        <f t="shared" si="3"/>
        <v>0</v>
      </c>
      <c r="S11" s="66">
        <f t="shared" si="3"/>
        <v>0</v>
      </c>
      <c r="T11" s="66">
        <f t="shared" si="3"/>
        <v>0</v>
      </c>
      <c r="U11" s="66">
        <f t="shared" si="3"/>
        <v>0</v>
      </c>
      <c r="V11" s="66">
        <f t="shared" si="3"/>
        <v>0</v>
      </c>
      <c r="W11" s="66">
        <f t="shared" si="3"/>
        <v>0</v>
      </c>
      <c r="X11" s="66">
        <f t="shared" si="3"/>
        <v>0</v>
      </c>
      <c r="Y11" s="66">
        <f t="shared" si="3"/>
        <v>0</v>
      </c>
    </row>
    <row r="12" spans="1:25" x14ac:dyDescent="0.25">
      <c r="A12" s="6"/>
      <c r="M12" s="49"/>
      <c r="N12" s="50"/>
    </row>
    <row r="13" spans="1:25" x14ac:dyDescent="0.25">
      <c r="A13" s="87" t="s">
        <v>50</v>
      </c>
      <c r="B13" s="8" t="str">
        <f xml:space="preserve"> CONCATENATE(Setup!$B$7, ", ", LEFT(Setup!$C$7,2))</f>
        <v>&lt;TM1&gt;, 1</v>
      </c>
      <c r="C13" s="25">
        <f>SUM('Sprint 0'!C18:I18)</f>
        <v>0</v>
      </c>
      <c r="D13" s="25">
        <f>SUM('Sprint 0'!J18:P18)</f>
        <v>0</v>
      </c>
      <c r="E13" s="25">
        <f>SUM('Sprint 0'!Q18:W18)</f>
        <v>0</v>
      </c>
      <c r="F13" s="25">
        <f>SUM('Sprint 1'!C18:I18)</f>
        <v>0</v>
      </c>
      <c r="G13" s="25">
        <f>SUM('Sprint 1'!J18:P18)</f>
        <v>0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6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87"/>
      <c r="B14" s="8" t="str">
        <f xml:space="preserve"> CONCATENATE(Setup!$B$8, ", ", LEFT(Setup!$C$8,2))</f>
        <v>&lt;TM2&gt;, 2</v>
      </c>
      <c r="C14" s="25">
        <f>SUM('Sprint 0'!C19:I19)</f>
        <v>0</v>
      </c>
      <c r="D14" s="25">
        <f>SUM('Sprint 0'!J19:P19)</f>
        <v>0</v>
      </c>
      <c r="E14" s="25">
        <f>SUM('Sprint 0'!Q19:W19)</f>
        <v>0</v>
      </c>
      <c r="F14" s="25">
        <f>SUM('Sprint 1'!C19:I19)</f>
        <v>0</v>
      </c>
      <c r="G14" s="25">
        <f>SUM('Sprint 1'!J19:P19)</f>
        <v>0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6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87"/>
      <c r="B15" s="8" t="str">
        <f xml:space="preserve"> CONCATENATE(Setup!$B$9, ", ", LEFT(Setup!$C$9,2))</f>
        <v>&lt;TM3&gt;, 3</v>
      </c>
      <c r="C15" s="25">
        <f>SUM('Sprint 0'!C20:I20)</f>
        <v>0</v>
      </c>
      <c r="D15" s="25">
        <f>SUM('Sprint 0'!J20:P20)</f>
        <v>0</v>
      </c>
      <c r="E15" s="25">
        <f>SUM('Sprint 0'!Q20:W20)</f>
        <v>0</v>
      </c>
      <c r="F15" s="25">
        <f>SUM('Sprint 1'!C20:I20)</f>
        <v>0</v>
      </c>
      <c r="G15" s="25">
        <f>SUM('Sprint 1'!J20:P20)</f>
        <v>0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0</v>
      </c>
      <c r="M15" s="25">
        <f>SUM('Sprint 4'!J20:P20)</f>
        <v>0</v>
      </c>
      <c r="N15" s="46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87"/>
      <c r="B16" s="8" t="str">
        <f xml:space="preserve"> CONCATENATE(Setup!$B$10, ", ", LEFT(Setup!$C$10,2))</f>
        <v>&lt;TM4&gt;, 4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6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87"/>
      <c r="B17" s="9" t="s">
        <v>35</v>
      </c>
      <c r="C17" s="21">
        <f xml:space="preserve"> SUM(C13:C16)</f>
        <v>0</v>
      </c>
      <c r="D17" s="21">
        <f t="shared" ref="D17" si="4" xml:space="preserve"> SUM(D13:D16)</f>
        <v>0</v>
      </c>
      <c r="E17" s="21">
        <f t="shared" ref="E17" si="5" xml:space="preserve"> SUM(E13:E16)</f>
        <v>0</v>
      </c>
      <c r="F17" s="21">
        <f t="shared" ref="F17" si="6" xml:space="preserve"> SUM(F13:F16)</f>
        <v>0</v>
      </c>
      <c r="G17" s="21">
        <f t="shared" ref="G17" si="7" xml:space="preserve"> SUM(G13:G16)</f>
        <v>0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8">
        <f>SUM(N13:N16)</f>
        <v>0</v>
      </c>
      <c r="O17" s="66">
        <f t="shared" ref="O17" si="14">SUM(O13:O16)</f>
        <v>0</v>
      </c>
      <c r="P17" s="66">
        <f t="shared" ref="P17" si="15">SUM(P13:P16)</f>
        <v>0</v>
      </c>
      <c r="Q17" s="66">
        <f t="shared" ref="Q17" si="16">SUM(Q13:Q16)</f>
        <v>0</v>
      </c>
      <c r="R17" s="66">
        <f t="shared" ref="R17" si="17">SUM(R13:R16)</f>
        <v>0</v>
      </c>
      <c r="S17" s="66">
        <f t="shared" ref="S17" si="18">SUM(S13:S16)</f>
        <v>0</v>
      </c>
      <c r="T17" s="66">
        <f t="shared" ref="T17" si="19">SUM(T13:T16)</f>
        <v>0</v>
      </c>
      <c r="U17" s="66">
        <f t="shared" ref="U17" si="20">SUM(U13:U16)</f>
        <v>0</v>
      </c>
      <c r="V17" s="66">
        <f t="shared" ref="V17" si="21">SUM(V13:V16)</f>
        <v>0</v>
      </c>
      <c r="W17" s="66">
        <f t="shared" ref="W17" si="22">SUM(W13:W16)</f>
        <v>0</v>
      </c>
      <c r="X17" s="66">
        <f t="shared" ref="X17" si="23">SUM(X13:X16)</f>
        <v>0</v>
      </c>
      <c r="Y17" s="66">
        <f t="shared" ref="Y17" si="24">SUM(Y13:Y16)</f>
        <v>0</v>
      </c>
    </row>
    <row r="18" spans="1:25" x14ac:dyDescent="0.25">
      <c r="M18" s="49"/>
      <c r="N18" s="50"/>
    </row>
    <row r="19" spans="1:25" x14ac:dyDescent="0.25">
      <c r="A19" s="67" t="s">
        <v>44</v>
      </c>
      <c r="B19" s="8" t="str">
        <f xml:space="preserve"> CONCATENATE(Setup!$B$7, ", ", LEFT(Setup!$C$7,2))</f>
        <v>&lt;TM1&gt;, 1</v>
      </c>
      <c r="C19" s="25">
        <f xml:space="preserve"> C7 + C13</f>
        <v>0</v>
      </c>
      <c r="D19" s="25">
        <f xml:space="preserve"> C19 + D7 + D14</f>
        <v>0</v>
      </c>
      <c r="E19" s="25">
        <f t="shared" ref="E19:Y22" si="25" xml:space="preserve"> D19 + E7 + E14</f>
        <v>0</v>
      </c>
      <c r="F19" s="25">
        <f t="shared" si="25"/>
        <v>0</v>
      </c>
      <c r="G19" s="25">
        <f t="shared" si="25"/>
        <v>0</v>
      </c>
      <c r="H19" s="25">
        <f t="shared" si="25"/>
        <v>0</v>
      </c>
      <c r="I19" s="25">
        <f t="shared" si="25"/>
        <v>0</v>
      </c>
      <c r="J19" s="25">
        <f t="shared" si="25"/>
        <v>0</v>
      </c>
      <c r="K19" s="25">
        <f t="shared" si="25"/>
        <v>0</v>
      </c>
      <c r="L19" s="25">
        <f t="shared" si="25"/>
        <v>0</v>
      </c>
      <c r="M19" s="45">
        <f t="shared" si="25"/>
        <v>0</v>
      </c>
      <c r="N19" s="46">
        <f t="shared" si="25"/>
        <v>0</v>
      </c>
      <c r="O19" s="25">
        <f t="shared" si="25"/>
        <v>0</v>
      </c>
      <c r="P19" s="25">
        <f t="shared" si="25"/>
        <v>0</v>
      </c>
      <c r="Q19" s="25">
        <f t="shared" si="25"/>
        <v>0</v>
      </c>
      <c r="R19" s="25">
        <f t="shared" si="25"/>
        <v>0</v>
      </c>
      <c r="S19" s="25">
        <f t="shared" si="25"/>
        <v>0</v>
      </c>
      <c r="T19" s="25">
        <f t="shared" si="25"/>
        <v>0</v>
      </c>
      <c r="U19" s="25">
        <f t="shared" si="25"/>
        <v>0</v>
      </c>
      <c r="V19" s="25">
        <f t="shared" si="25"/>
        <v>0</v>
      </c>
      <c r="W19" s="25">
        <f t="shared" si="25"/>
        <v>0</v>
      </c>
      <c r="X19" s="25">
        <f t="shared" si="25"/>
        <v>0</v>
      </c>
      <c r="Y19" s="25">
        <f t="shared" si="25"/>
        <v>0</v>
      </c>
    </row>
    <row r="20" spans="1:25" x14ac:dyDescent="0.25">
      <c r="A20" s="67"/>
      <c r="B20" s="8" t="str">
        <f xml:space="preserve"> CONCATENATE(Setup!$B$8, ", ", LEFT(Setup!$C$8,2))</f>
        <v>&lt;TM2&gt;, 2</v>
      </c>
      <c r="C20" s="25">
        <f t="shared" ref="C20:C22" si="26" xml:space="preserve"> C8 + C14</f>
        <v>0</v>
      </c>
      <c r="D20" s="25">
        <f t="shared" ref="D20:S22" si="27" xml:space="preserve"> C20 + D8 + D15</f>
        <v>0</v>
      </c>
      <c r="E20" s="25">
        <f t="shared" si="27"/>
        <v>0</v>
      </c>
      <c r="F20" s="25">
        <f t="shared" si="27"/>
        <v>0</v>
      </c>
      <c r="G20" s="25">
        <f t="shared" si="27"/>
        <v>0</v>
      </c>
      <c r="H20" s="25">
        <f t="shared" si="27"/>
        <v>0</v>
      </c>
      <c r="I20" s="25">
        <f t="shared" si="27"/>
        <v>0</v>
      </c>
      <c r="J20" s="25">
        <f t="shared" si="27"/>
        <v>0</v>
      </c>
      <c r="K20" s="25">
        <f t="shared" si="27"/>
        <v>0</v>
      </c>
      <c r="L20" s="25">
        <f t="shared" si="27"/>
        <v>0</v>
      </c>
      <c r="M20" s="45">
        <f t="shared" si="27"/>
        <v>0</v>
      </c>
      <c r="N20" s="46">
        <f t="shared" si="27"/>
        <v>0</v>
      </c>
      <c r="O20" s="25">
        <f t="shared" si="27"/>
        <v>0</v>
      </c>
      <c r="P20" s="25">
        <f t="shared" si="27"/>
        <v>0</v>
      </c>
      <c r="Q20" s="25">
        <f t="shared" si="27"/>
        <v>0</v>
      </c>
      <c r="R20" s="25">
        <f t="shared" si="27"/>
        <v>0</v>
      </c>
      <c r="S20" s="25">
        <f t="shared" si="27"/>
        <v>0</v>
      </c>
      <c r="T20" s="25">
        <f t="shared" si="25"/>
        <v>0</v>
      </c>
      <c r="U20" s="25">
        <f t="shared" si="25"/>
        <v>0</v>
      </c>
      <c r="V20" s="25">
        <f t="shared" si="25"/>
        <v>0</v>
      </c>
      <c r="W20" s="25">
        <f t="shared" si="25"/>
        <v>0</v>
      </c>
      <c r="X20" s="25">
        <f t="shared" si="25"/>
        <v>0</v>
      </c>
      <c r="Y20" s="25">
        <f t="shared" si="25"/>
        <v>0</v>
      </c>
    </row>
    <row r="21" spans="1:25" x14ac:dyDescent="0.25">
      <c r="A21" s="67"/>
      <c r="B21" s="8" t="str">
        <f xml:space="preserve"> CONCATENATE(Setup!$B$9, ", ", LEFT(Setup!$C$9,2))</f>
        <v>&lt;TM3&gt;, 3</v>
      </c>
      <c r="C21" s="25">
        <f t="shared" si="26"/>
        <v>0</v>
      </c>
      <c r="D21" s="25">
        <f t="shared" si="27"/>
        <v>0</v>
      </c>
      <c r="E21" s="25">
        <f t="shared" si="25"/>
        <v>0</v>
      </c>
      <c r="F21" s="25">
        <f t="shared" si="25"/>
        <v>0</v>
      </c>
      <c r="G21" s="25">
        <f t="shared" si="25"/>
        <v>0</v>
      </c>
      <c r="H21" s="25">
        <f t="shared" si="25"/>
        <v>0</v>
      </c>
      <c r="I21" s="25">
        <f t="shared" si="25"/>
        <v>0</v>
      </c>
      <c r="J21" s="25">
        <f t="shared" si="25"/>
        <v>0</v>
      </c>
      <c r="K21" s="25">
        <f t="shared" si="25"/>
        <v>0</v>
      </c>
      <c r="L21" s="25">
        <f t="shared" si="25"/>
        <v>0</v>
      </c>
      <c r="M21" s="45">
        <f t="shared" si="25"/>
        <v>0</v>
      </c>
      <c r="N21" s="46">
        <f t="shared" si="25"/>
        <v>0</v>
      </c>
      <c r="O21" s="25">
        <f t="shared" si="25"/>
        <v>0</v>
      </c>
      <c r="P21" s="25">
        <f t="shared" si="25"/>
        <v>0</v>
      </c>
      <c r="Q21" s="25">
        <f t="shared" si="25"/>
        <v>0</v>
      </c>
      <c r="R21" s="25">
        <f t="shared" si="25"/>
        <v>0</v>
      </c>
      <c r="S21" s="25">
        <f t="shared" si="25"/>
        <v>0</v>
      </c>
      <c r="T21" s="25">
        <f t="shared" si="25"/>
        <v>0</v>
      </c>
      <c r="U21" s="25">
        <f t="shared" si="25"/>
        <v>0</v>
      </c>
      <c r="V21" s="25">
        <f t="shared" si="25"/>
        <v>0</v>
      </c>
      <c r="W21" s="25">
        <f t="shared" si="25"/>
        <v>0</v>
      </c>
      <c r="X21" s="25">
        <f t="shared" si="25"/>
        <v>0</v>
      </c>
      <c r="Y21" s="25">
        <f t="shared" si="25"/>
        <v>0</v>
      </c>
    </row>
    <row r="22" spans="1:25" x14ac:dyDescent="0.25">
      <c r="A22" s="67"/>
      <c r="B22" s="8" t="str">
        <f xml:space="preserve"> CONCATENATE(Setup!$B$10, ", ", LEFT(Setup!$C$10,2))</f>
        <v>&lt;TM4&gt;, 4</v>
      </c>
      <c r="C22" s="25">
        <f t="shared" si="26"/>
        <v>0</v>
      </c>
      <c r="D22" s="25">
        <f t="shared" si="27"/>
        <v>0</v>
      </c>
      <c r="E22" s="25">
        <f t="shared" si="25"/>
        <v>0</v>
      </c>
      <c r="F22" s="25">
        <f t="shared" si="25"/>
        <v>0</v>
      </c>
      <c r="G22" s="25">
        <f t="shared" si="25"/>
        <v>0</v>
      </c>
      <c r="H22" s="25">
        <f t="shared" si="25"/>
        <v>0</v>
      </c>
      <c r="I22" s="25">
        <f t="shared" si="25"/>
        <v>0</v>
      </c>
      <c r="J22" s="25">
        <f t="shared" si="25"/>
        <v>0</v>
      </c>
      <c r="K22" s="25">
        <f t="shared" si="25"/>
        <v>0</v>
      </c>
      <c r="L22" s="25">
        <f t="shared" si="25"/>
        <v>0</v>
      </c>
      <c r="M22" s="45">
        <f t="shared" si="25"/>
        <v>0</v>
      </c>
      <c r="N22" s="46">
        <f t="shared" si="25"/>
        <v>0</v>
      </c>
      <c r="O22" s="25">
        <f t="shared" si="25"/>
        <v>0</v>
      </c>
      <c r="P22" s="25">
        <f t="shared" si="25"/>
        <v>0</v>
      </c>
      <c r="Q22" s="25">
        <f t="shared" si="25"/>
        <v>0</v>
      </c>
      <c r="R22" s="25">
        <f t="shared" si="25"/>
        <v>0</v>
      </c>
      <c r="S22" s="25">
        <f t="shared" si="25"/>
        <v>0</v>
      </c>
      <c r="T22" s="25">
        <f t="shared" si="25"/>
        <v>0</v>
      </c>
      <c r="U22" s="25">
        <f t="shared" si="25"/>
        <v>0</v>
      </c>
      <c r="V22" s="25">
        <f t="shared" si="25"/>
        <v>0</v>
      </c>
      <c r="W22" s="25">
        <f t="shared" si="25"/>
        <v>0</v>
      </c>
      <c r="X22" s="25">
        <f t="shared" si="25"/>
        <v>0</v>
      </c>
      <c r="Y22" s="25">
        <f t="shared" si="25"/>
        <v>0</v>
      </c>
    </row>
    <row r="23" spans="1:25" ht="15.75" x14ac:dyDescent="0.25">
      <c r="A23" s="67"/>
      <c r="B23" s="9" t="s">
        <v>35</v>
      </c>
      <c r="C23" s="21">
        <f xml:space="preserve"> C11 + C17</f>
        <v>0</v>
      </c>
      <c r="D23" s="21">
        <f xml:space="preserve"> C23 + D11 + D17</f>
        <v>0</v>
      </c>
      <c r="E23" s="21">
        <f t="shared" ref="E23:Y23" si="28" xml:space="preserve"> D23 + E11 + E17</f>
        <v>0</v>
      </c>
      <c r="F23" s="21">
        <f t="shared" si="28"/>
        <v>0</v>
      </c>
      <c r="G23" s="21">
        <f t="shared" si="28"/>
        <v>0</v>
      </c>
      <c r="H23" s="21">
        <f t="shared" si="28"/>
        <v>0</v>
      </c>
      <c r="I23" s="21">
        <f t="shared" si="28"/>
        <v>0</v>
      </c>
      <c r="J23" s="21">
        <f t="shared" si="28"/>
        <v>0</v>
      </c>
      <c r="K23" s="21">
        <f t="shared" si="28"/>
        <v>0</v>
      </c>
      <c r="L23" s="21">
        <f t="shared" si="28"/>
        <v>0</v>
      </c>
      <c r="M23" s="47">
        <f t="shared" si="28"/>
        <v>0</v>
      </c>
      <c r="N23" s="48">
        <f t="shared" si="28"/>
        <v>0</v>
      </c>
      <c r="O23" s="21">
        <f t="shared" si="28"/>
        <v>0</v>
      </c>
      <c r="P23" s="21">
        <f t="shared" si="28"/>
        <v>0</v>
      </c>
      <c r="Q23" s="21">
        <f t="shared" si="28"/>
        <v>0</v>
      </c>
      <c r="R23" s="21">
        <f t="shared" si="28"/>
        <v>0</v>
      </c>
      <c r="S23" s="21">
        <f t="shared" si="28"/>
        <v>0</v>
      </c>
      <c r="T23" s="21">
        <f t="shared" si="28"/>
        <v>0</v>
      </c>
      <c r="U23" s="21">
        <f t="shared" si="28"/>
        <v>0</v>
      </c>
      <c r="V23" s="21">
        <f t="shared" si="28"/>
        <v>0</v>
      </c>
      <c r="W23" s="21">
        <f t="shared" si="28"/>
        <v>0</v>
      </c>
      <c r="X23" s="21">
        <f t="shared" si="28"/>
        <v>0</v>
      </c>
      <c r="Y23" s="21">
        <f t="shared" si="28"/>
        <v>0</v>
      </c>
    </row>
    <row r="24" spans="1:25" ht="15.75" x14ac:dyDescent="0.25">
      <c r="A24" s="19"/>
      <c r="B24" s="20"/>
      <c r="M24" s="49"/>
      <c r="N24" s="50"/>
    </row>
    <row r="25" spans="1:25" x14ac:dyDescent="0.25">
      <c r="A25" s="67" t="s">
        <v>13</v>
      </c>
      <c r="B25" s="8" t="str">
        <f xml:space="preserve"> CONCATENATE(Setup!$B$7, ", ", LEFT(Setup!$C$7,2))</f>
        <v>&lt;TM1&gt;, 1</v>
      </c>
      <c r="C25" s="29">
        <f xml:space="preserve"> C19 / C$6</f>
        <v>0</v>
      </c>
      <c r="D25" s="29">
        <f t="shared" ref="D25:E25" si="29" xml:space="preserve"> D19 / D$6</f>
        <v>0</v>
      </c>
      <c r="E25" s="29">
        <f t="shared" si="29"/>
        <v>0</v>
      </c>
      <c r="F25" s="29">
        <f t="shared" ref="F25:Y25" si="30" xml:space="preserve"> F19 / F$6</f>
        <v>0</v>
      </c>
      <c r="G25" s="29">
        <f t="shared" si="30"/>
        <v>0</v>
      </c>
      <c r="H25" s="29">
        <f t="shared" si="30"/>
        <v>0</v>
      </c>
      <c r="I25" s="29">
        <f t="shared" si="30"/>
        <v>0</v>
      </c>
      <c r="J25" s="29">
        <f t="shared" si="30"/>
        <v>0</v>
      </c>
      <c r="K25" s="29">
        <f t="shared" si="30"/>
        <v>0</v>
      </c>
      <c r="L25" s="29">
        <f t="shared" si="30"/>
        <v>0</v>
      </c>
      <c r="M25" s="51">
        <f t="shared" si="30"/>
        <v>0</v>
      </c>
      <c r="N25" s="52">
        <f t="shared" si="30"/>
        <v>0</v>
      </c>
      <c r="O25" s="29">
        <f t="shared" si="30"/>
        <v>0</v>
      </c>
      <c r="P25" s="29">
        <f t="shared" si="30"/>
        <v>0</v>
      </c>
      <c r="Q25" s="29">
        <f t="shared" si="30"/>
        <v>0</v>
      </c>
      <c r="R25" s="29">
        <f t="shared" si="30"/>
        <v>0</v>
      </c>
      <c r="S25" s="29">
        <f t="shared" si="30"/>
        <v>0</v>
      </c>
      <c r="T25" s="29">
        <f t="shared" si="30"/>
        <v>0</v>
      </c>
      <c r="U25" s="29">
        <f t="shared" si="30"/>
        <v>0</v>
      </c>
      <c r="V25" s="29">
        <f t="shared" si="30"/>
        <v>0</v>
      </c>
      <c r="W25" s="29">
        <f t="shared" si="30"/>
        <v>0</v>
      </c>
      <c r="X25" s="29">
        <f t="shared" si="30"/>
        <v>0</v>
      </c>
      <c r="Y25" s="29">
        <f t="shared" si="30"/>
        <v>0</v>
      </c>
    </row>
    <row r="26" spans="1:25" x14ac:dyDescent="0.25">
      <c r="A26" s="67"/>
      <c r="B26" s="8" t="str">
        <f xml:space="preserve"> CONCATENATE(Setup!$B$8, ", ", LEFT(Setup!$C$8,2))</f>
        <v>&lt;TM2&gt;, 2</v>
      </c>
      <c r="C26" s="29">
        <f t="shared" ref="C26:E29" si="31" xml:space="preserve"> C20 / C$6</f>
        <v>0</v>
      </c>
      <c r="D26" s="29">
        <f t="shared" si="31"/>
        <v>0</v>
      </c>
      <c r="E26" s="29">
        <f t="shared" si="31"/>
        <v>0</v>
      </c>
      <c r="F26" s="29">
        <f t="shared" ref="F26:Y26" si="32" xml:space="preserve"> F20 / F$6</f>
        <v>0</v>
      </c>
      <c r="G26" s="29">
        <f t="shared" si="32"/>
        <v>0</v>
      </c>
      <c r="H26" s="29">
        <f t="shared" si="32"/>
        <v>0</v>
      </c>
      <c r="I26" s="29">
        <f t="shared" si="32"/>
        <v>0</v>
      </c>
      <c r="J26" s="29">
        <f t="shared" si="32"/>
        <v>0</v>
      </c>
      <c r="K26" s="29">
        <f t="shared" si="32"/>
        <v>0</v>
      </c>
      <c r="L26" s="29">
        <f t="shared" si="32"/>
        <v>0</v>
      </c>
      <c r="M26" s="51">
        <f t="shared" si="32"/>
        <v>0</v>
      </c>
      <c r="N26" s="52">
        <f t="shared" si="32"/>
        <v>0</v>
      </c>
      <c r="O26" s="29">
        <f t="shared" si="32"/>
        <v>0</v>
      </c>
      <c r="P26" s="29">
        <f t="shared" si="32"/>
        <v>0</v>
      </c>
      <c r="Q26" s="29">
        <f t="shared" si="32"/>
        <v>0</v>
      </c>
      <c r="R26" s="29">
        <f t="shared" si="32"/>
        <v>0</v>
      </c>
      <c r="S26" s="29">
        <f t="shared" si="32"/>
        <v>0</v>
      </c>
      <c r="T26" s="29">
        <f t="shared" si="32"/>
        <v>0</v>
      </c>
      <c r="U26" s="29">
        <f t="shared" si="32"/>
        <v>0</v>
      </c>
      <c r="V26" s="29">
        <f t="shared" si="32"/>
        <v>0</v>
      </c>
      <c r="W26" s="29">
        <f t="shared" si="32"/>
        <v>0</v>
      </c>
      <c r="X26" s="29">
        <f t="shared" si="32"/>
        <v>0</v>
      </c>
      <c r="Y26" s="29">
        <f t="shared" si="32"/>
        <v>0</v>
      </c>
    </row>
    <row r="27" spans="1:25" x14ac:dyDescent="0.25">
      <c r="A27" s="67"/>
      <c r="B27" s="8" t="str">
        <f xml:space="preserve"> CONCATENATE(Setup!$B$9, ", ", LEFT(Setup!$C$9,2))</f>
        <v>&lt;TM3&gt;, 3</v>
      </c>
      <c r="C27" s="29">
        <f t="shared" si="31"/>
        <v>0</v>
      </c>
      <c r="D27" s="29">
        <f t="shared" si="31"/>
        <v>0</v>
      </c>
      <c r="E27" s="29">
        <f t="shared" si="31"/>
        <v>0</v>
      </c>
      <c r="F27" s="29">
        <f t="shared" ref="F27:Y27" si="33" xml:space="preserve"> F21 / F$6</f>
        <v>0</v>
      </c>
      <c r="G27" s="29">
        <f t="shared" si="33"/>
        <v>0</v>
      </c>
      <c r="H27" s="29">
        <f t="shared" si="33"/>
        <v>0</v>
      </c>
      <c r="I27" s="29">
        <f t="shared" si="33"/>
        <v>0</v>
      </c>
      <c r="J27" s="29">
        <f t="shared" si="33"/>
        <v>0</v>
      </c>
      <c r="K27" s="29">
        <f t="shared" si="33"/>
        <v>0</v>
      </c>
      <c r="L27" s="29">
        <f t="shared" si="33"/>
        <v>0</v>
      </c>
      <c r="M27" s="51">
        <f t="shared" si="33"/>
        <v>0</v>
      </c>
      <c r="N27" s="52">
        <f t="shared" si="33"/>
        <v>0</v>
      </c>
      <c r="O27" s="29">
        <f t="shared" si="33"/>
        <v>0</v>
      </c>
      <c r="P27" s="29">
        <f t="shared" si="33"/>
        <v>0</v>
      </c>
      <c r="Q27" s="29">
        <f t="shared" si="33"/>
        <v>0</v>
      </c>
      <c r="R27" s="29">
        <f t="shared" si="33"/>
        <v>0</v>
      </c>
      <c r="S27" s="29">
        <f t="shared" si="33"/>
        <v>0</v>
      </c>
      <c r="T27" s="29">
        <f t="shared" si="33"/>
        <v>0</v>
      </c>
      <c r="U27" s="29">
        <f t="shared" si="33"/>
        <v>0</v>
      </c>
      <c r="V27" s="29">
        <f t="shared" si="33"/>
        <v>0</v>
      </c>
      <c r="W27" s="29">
        <f t="shared" si="33"/>
        <v>0</v>
      </c>
      <c r="X27" s="29">
        <f t="shared" si="33"/>
        <v>0</v>
      </c>
      <c r="Y27" s="29">
        <f t="shared" si="33"/>
        <v>0</v>
      </c>
    </row>
    <row r="28" spans="1:25" x14ac:dyDescent="0.25">
      <c r="A28" s="67"/>
      <c r="B28" s="8" t="str">
        <f xml:space="preserve"> CONCATENATE(Setup!$B$10, ", ", LEFT(Setup!$C$10,2))</f>
        <v>&lt;TM4&gt;, 4</v>
      </c>
      <c r="C28" s="29">
        <f t="shared" si="31"/>
        <v>0</v>
      </c>
      <c r="D28" s="29">
        <f t="shared" si="31"/>
        <v>0</v>
      </c>
      <c r="E28" s="29">
        <f t="shared" si="31"/>
        <v>0</v>
      </c>
      <c r="F28" s="29">
        <f t="shared" ref="F28:Y28" si="34" xml:space="preserve"> F22 / F$6</f>
        <v>0</v>
      </c>
      <c r="G28" s="29">
        <f t="shared" si="34"/>
        <v>0</v>
      </c>
      <c r="H28" s="29">
        <f t="shared" si="34"/>
        <v>0</v>
      </c>
      <c r="I28" s="29">
        <f t="shared" si="34"/>
        <v>0</v>
      </c>
      <c r="J28" s="29">
        <f t="shared" si="34"/>
        <v>0</v>
      </c>
      <c r="K28" s="29">
        <f t="shared" si="34"/>
        <v>0</v>
      </c>
      <c r="L28" s="29">
        <f t="shared" si="34"/>
        <v>0</v>
      </c>
      <c r="M28" s="51">
        <f t="shared" si="34"/>
        <v>0</v>
      </c>
      <c r="N28" s="52">
        <f t="shared" si="34"/>
        <v>0</v>
      </c>
      <c r="O28" s="29">
        <f t="shared" si="34"/>
        <v>0</v>
      </c>
      <c r="P28" s="29">
        <f t="shared" si="34"/>
        <v>0</v>
      </c>
      <c r="Q28" s="29">
        <f t="shared" si="34"/>
        <v>0</v>
      </c>
      <c r="R28" s="29">
        <f t="shared" si="34"/>
        <v>0</v>
      </c>
      <c r="S28" s="29">
        <f t="shared" si="34"/>
        <v>0</v>
      </c>
      <c r="T28" s="29">
        <f t="shared" si="34"/>
        <v>0</v>
      </c>
      <c r="U28" s="29">
        <f t="shared" si="34"/>
        <v>0</v>
      </c>
      <c r="V28" s="29">
        <f t="shared" si="34"/>
        <v>0</v>
      </c>
      <c r="W28" s="29">
        <f t="shared" si="34"/>
        <v>0</v>
      </c>
      <c r="X28" s="29">
        <f t="shared" si="34"/>
        <v>0</v>
      </c>
      <c r="Y28" s="29">
        <f t="shared" si="34"/>
        <v>0</v>
      </c>
    </row>
    <row r="29" spans="1:25" ht="15.75" x14ac:dyDescent="0.25">
      <c r="A29" s="67"/>
      <c r="B29" s="9" t="s">
        <v>35</v>
      </c>
      <c r="C29" s="30">
        <f t="shared" si="31"/>
        <v>0</v>
      </c>
      <c r="D29" s="30">
        <f t="shared" si="31"/>
        <v>0</v>
      </c>
      <c r="E29" s="30">
        <f t="shared" si="31"/>
        <v>0</v>
      </c>
      <c r="F29" s="30">
        <f t="shared" ref="F29:Y29" si="35" xml:space="preserve"> F23 / F$6</f>
        <v>0</v>
      </c>
      <c r="G29" s="30">
        <f t="shared" si="35"/>
        <v>0</v>
      </c>
      <c r="H29" s="30">
        <f t="shared" si="35"/>
        <v>0</v>
      </c>
      <c r="I29" s="30">
        <f t="shared" si="35"/>
        <v>0</v>
      </c>
      <c r="J29" s="30">
        <f t="shared" si="35"/>
        <v>0</v>
      </c>
      <c r="K29" s="30">
        <f t="shared" si="35"/>
        <v>0</v>
      </c>
      <c r="L29" s="30">
        <f t="shared" si="35"/>
        <v>0</v>
      </c>
      <c r="M29" s="53">
        <f t="shared" si="35"/>
        <v>0</v>
      </c>
      <c r="N29" s="54">
        <f t="shared" si="35"/>
        <v>0</v>
      </c>
      <c r="O29" s="30">
        <f t="shared" si="35"/>
        <v>0</v>
      </c>
      <c r="P29" s="30">
        <f t="shared" si="35"/>
        <v>0</v>
      </c>
      <c r="Q29" s="30">
        <f t="shared" si="35"/>
        <v>0</v>
      </c>
      <c r="R29" s="30">
        <f t="shared" si="35"/>
        <v>0</v>
      </c>
      <c r="S29" s="30">
        <f t="shared" si="35"/>
        <v>0</v>
      </c>
      <c r="T29" s="30">
        <f t="shared" si="35"/>
        <v>0</v>
      </c>
      <c r="U29" s="30">
        <f t="shared" si="35"/>
        <v>0</v>
      </c>
      <c r="V29" s="30">
        <f t="shared" si="35"/>
        <v>0</v>
      </c>
      <c r="W29" s="30">
        <f t="shared" si="35"/>
        <v>0</v>
      </c>
      <c r="X29" s="30">
        <f t="shared" si="35"/>
        <v>0</v>
      </c>
      <c r="Y29" s="30">
        <f t="shared" si="35"/>
        <v>0</v>
      </c>
    </row>
  </sheetData>
  <mergeCells count="18">
    <mergeCell ref="C1:M1"/>
    <mergeCell ref="L4:M4"/>
    <mergeCell ref="N4:O4"/>
    <mergeCell ref="P4:Q4"/>
    <mergeCell ref="R4:S4"/>
    <mergeCell ref="C4:E4"/>
    <mergeCell ref="F4:G4"/>
    <mergeCell ref="H4:I4"/>
    <mergeCell ref="J4:K4"/>
    <mergeCell ref="A7:A11"/>
    <mergeCell ref="A25:A29"/>
    <mergeCell ref="A19:A23"/>
    <mergeCell ref="X4:Y4"/>
    <mergeCell ref="C3:M3"/>
    <mergeCell ref="N3:Y3"/>
    <mergeCell ref="T4:U4"/>
    <mergeCell ref="V4:W4"/>
    <mergeCell ref="A13:A17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zoomScaleNormal="100" workbookViewId="0">
      <selection activeCell="E19" sqref="E19"/>
    </sheetView>
  </sheetViews>
  <sheetFormatPr defaultRowHeight="15" x14ac:dyDescent="0.25"/>
  <cols>
    <col min="2" max="2" width="15.7109375" customWidth="1"/>
  </cols>
  <sheetData>
    <row r="1" spans="1:23" ht="18.75" x14ac:dyDescent="0.3">
      <c r="C1" s="14" t="s">
        <v>34</v>
      </c>
    </row>
    <row r="2" spans="1:23" ht="18.75" x14ac:dyDescent="0.3">
      <c r="B2" s="23" t="str">
        <f>SheetName</f>
        <v>Sprint 0</v>
      </c>
      <c r="C2" s="27" t="s">
        <v>43</v>
      </c>
    </row>
    <row r="3" spans="1:23" x14ac:dyDescent="0.25">
      <c r="B3" s="31" t="s">
        <v>41</v>
      </c>
      <c r="C3" s="81" t="s">
        <v>37</v>
      </c>
      <c r="D3" s="86"/>
      <c r="E3" s="86"/>
      <c r="F3" s="86"/>
      <c r="G3" s="86"/>
      <c r="H3" s="86"/>
      <c r="I3" s="86"/>
      <c r="J3" s="86" t="s">
        <v>38</v>
      </c>
      <c r="K3" s="86"/>
      <c r="L3" s="86"/>
      <c r="M3" s="86"/>
      <c r="N3" s="86"/>
      <c r="O3" s="86"/>
      <c r="P3" s="86"/>
      <c r="Q3" s="86" t="s">
        <v>39</v>
      </c>
      <c r="R3" s="86"/>
      <c r="S3" s="86"/>
      <c r="T3" s="86"/>
      <c r="U3" s="86"/>
      <c r="V3" s="86"/>
      <c r="W3" s="80"/>
    </row>
    <row r="4" spans="1:23" x14ac:dyDescent="0.25">
      <c r="A4" s="6"/>
      <c r="B4" s="5" t="s">
        <v>11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6">
        <f t="shared" si="0"/>
        <v>42260</v>
      </c>
      <c r="J4" s="57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6">
        <f t="shared" si="0"/>
        <v>42267</v>
      </c>
      <c r="Q4" s="57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32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  <c r="Q5" s="59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78" t="s">
        <v>45</v>
      </c>
      <c r="B6" s="17" t="str">
        <f xml:space="preserve"> CONCATENATE(Setup!$B$7, ", ", LEFT(Setup!$C$7,2))</f>
        <v>&lt;TM1&gt;, 1</v>
      </c>
      <c r="C6" s="34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60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  <c r="Q6" s="83">
        <v>0</v>
      </c>
      <c r="R6" s="35">
        <v>0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.5" thickTop="1" thickBot="1" x14ac:dyDescent="0.3">
      <c r="A7" s="78"/>
      <c r="B7" s="17" t="str">
        <f xml:space="preserve"> CONCATENATE(Setup!$B$8, ", ", LEFT(Setup!$C$8,2))</f>
        <v>&lt;TM2&gt;, 2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60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  <c r="Q7" s="84">
        <v>0</v>
      </c>
      <c r="R7" s="32">
        <v>0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.5" thickTop="1" thickBot="1" x14ac:dyDescent="0.3">
      <c r="A8" s="78"/>
      <c r="B8" s="17" t="str">
        <f xml:space="preserve"> CONCATENATE(Setup!$B$9, ", ", LEFT(Setup!$C$9,2))</f>
        <v>&lt;TM3&gt;, 3</v>
      </c>
      <c r="C8" s="34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60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  <c r="Q8" s="84">
        <v>0</v>
      </c>
      <c r="R8" s="32">
        <v>0</v>
      </c>
      <c r="S8" s="32">
        <v>0</v>
      </c>
      <c r="T8" s="32">
        <v>0</v>
      </c>
      <c r="U8" s="32">
        <v>0</v>
      </c>
      <c r="V8" s="32">
        <v>0</v>
      </c>
      <c r="W8" s="38">
        <v>0</v>
      </c>
    </row>
    <row r="9" spans="1:23" ht="16.5" thickTop="1" thickBot="1" x14ac:dyDescent="0.3">
      <c r="A9" s="78"/>
      <c r="B9" s="17" t="str">
        <f xml:space="preserve"> CONCATENATE(Setup!$B$10, ", ", LEFT(Setup!$C$10,2))</f>
        <v>&lt;TM4&gt;, 4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60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  <c r="Q9" s="85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.5" thickBot="1" x14ac:dyDescent="0.3">
      <c r="A10" s="78"/>
      <c r="B10" s="18" t="s">
        <v>35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  <c r="Q10" s="63">
        <f t="shared" si="1"/>
        <v>0</v>
      </c>
      <c r="R10" s="21">
        <f t="shared" si="1"/>
        <v>0</v>
      </c>
      <c r="S10" s="21">
        <f t="shared" si="1"/>
        <v>0</v>
      </c>
      <c r="T10" s="21">
        <f t="shared" si="1"/>
        <v>0</v>
      </c>
      <c r="U10" s="21">
        <f t="shared" si="1"/>
        <v>0</v>
      </c>
      <c r="V10" s="21">
        <f t="shared" si="1"/>
        <v>0</v>
      </c>
      <c r="W10" s="21">
        <f t="shared" si="1"/>
        <v>0</v>
      </c>
    </row>
    <row r="11" spans="1:23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  <c r="Q11" s="63"/>
      <c r="R11" s="21"/>
      <c r="S11" s="21"/>
      <c r="T11" s="21"/>
      <c r="U11" s="21"/>
      <c r="V11" s="21"/>
      <c r="W11" s="21"/>
    </row>
    <row r="12" spans="1:23" ht="15.75" thickBot="1" x14ac:dyDescent="0.3">
      <c r="A12" s="78" t="s">
        <v>46</v>
      </c>
      <c r="B12" s="17" t="str">
        <f xml:space="preserve"> CONCATENATE(Setup!$B$7, ", ", LEFT(Setup!$C$7,2))</f>
        <v>&lt;TM1&gt;, 1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  <c r="Q12" s="65">
        <f t="shared" si="2"/>
        <v>0</v>
      </c>
      <c r="R12" s="22">
        <f t="shared" si="2"/>
        <v>0</v>
      </c>
      <c r="S12" s="22">
        <f t="shared" si="2"/>
        <v>0</v>
      </c>
      <c r="T12" s="22">
        <f t="shared" si="2"/>
        <v>0</v>
      </c>
      <c r="U12" s="22">
        <f t="shared" si="2"/>
        <v>0</v>
      </c>
      <c r="V12" s="22">
        <f t="shared" si="2"/>
        <v>0</v>
      </c>
      <c r="W12" s="22">
        <f t="shared" si="2"/>
        <v>0</v>
      </c>
    </row>
    <row r="13" spans="1:23" ht="15.75" thickBot="1" x14ac:dyDescent="0.3">
      <c r="A13" s="78"/>
      <c r="B13" s="17" t="str">
        <f xml:space="preserve"> CONCATENATE(Setup!$B$8, ", ", LEFT(Setup!$C$8,2))</f>
        <v>&lt;TM2&gt;, 2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  <c r="Q13" s="65">
        <f t="shared" si="3"/>
        <v>0</v>
      </c>
      <c r="R13" s="22">
        <f t="shared" si="3"/>
        <v>0</v>
      </c>
      <c r="S13" s="22">
        <f t="shared" si="3"/>
        <v>0</v>
      </c>
      <c r="T13" s="22">
        <f t="shared" si="3"/>
        <v>0</v>
      </c>
      <c r="U13" s="22">
        <f t="shared" si="3"/>
        <v>0</v>
      </c>
      <c r="V13" s="22">
        <f t="shared" si="3"/>
        <v>0</v>
      </c>
      <c r="W13" s="22">
        <f t="shared" si="3"/>
        <v>0</v>
      </c>
    </row>
    <row r="14" spans="1:23" ht="15.75" thickBot="1" x14ac:dyDescent="0.3">
      <c r="A14" s="78"/>
      <c r="B14" s="17" t="str">
        <f xml:space="preserve"> CONCATENATE(Setup!$B$9, ", ", LEFT(Setup!$C$9,2))</f>
        <v>&lt;TM3&gt;, 3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  <c r="Q14" s="65">
        <f t="shared" si="4"/>
        <v>0</v>
      </c>
      <c r="R14" s="22">
        <f t="shared" si="4"/>
        <v>0</v>
      </c>
      <c r="S14" s="22">
        <f t="shared" si="4"/>
        <v>0</v>
      </c>
      <c r="T14" s="22">
        <f t="shared" si="4"/>
        <v>0</v>
      </c>
      <c r="U14" s="22">
        <f t="shared" si="4"/>
        <v>0</v>
      </c>
      <c r="V14" s="22">
        <f t="shared" si="4"/>
        <v>0</v>
      </c>
      <c r="W14" s="22">
        <f t="shared" si="4"/>
        <v>0</v>
      </c>
    </row>
    <row r="15" spans="1:23" ht="15.75" thickBot="1" x14ac:dyDescent="0.3">
      <c r="A15" s="78"/>
      <c r="B15" s="17" t="str">
        <f xml:space="preserve"> CONCATENATE(Setup!$B$10, ", ", LEFT(Setup!$C$10,2))</f>
        <v>&lt;TM4&gt;, 4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  <c r="Q15" s="65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.5" thickBot="1" x14ac:dyDescent="0.3">
      <c r="A16" s="78"/>
      <c r="B16" s="18" t="s">
        <v>35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  <c r="Q16" s="63">
        <f t="shared" si="6"/>
        <v>0</v>
      </c>
      <c r="R16" s="21">
        <f t="shared" si="6"/>
        <v>0</v>
      </c>
      <c r="S16" s="21">
        <f t="shared" si="6"/>
        <v>0</v>
      </c>
      <c r="T16" s="21">
        <f t="shared" si="6"/>
        <v>0</v>
      </c>
      <c r="U16" s="21">
        <f t="shared" si="6"/>
        <v>0</v>
      </c>
      <c r="V16" s="21">
        <f t="shared" si="6"/>
        <v>0</v>
      </c>
      <c r="W16" s="21">
        <f t="shared" si="6"/>
        <v>0</v>
      </c>
    </row>
    <row r="17" spans="1:23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  <c r="Q17" s="63"/>
      <c r="R17" s="21"/>
      <c r="S17" s="21"/>
      <c r="T17" s="21"/>
      <c r="U17" s="21"/>
      <c r="V17" s="21"/>
      <c r="W17" s="21"/>
    </row>
    <row r="18" spans="1:23" ht="15.75" thickBot="1" x14ac:dyDescent="0.3">
      <c r="A18" s="78" t="s">
        <v>48</v>
      </c>
      <c r="B18" s="17" t="str">
        <f xml:space="preserve"> CONCATENATE(Setup!$B$7, ", ", LEFT(Setup!$C$7,2))</f>
        <v>&lt;TM1&gt;, 1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60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  <c r="Q18" s="83">
        <v>0</v>
      </c>
      <c r="R18" s="35">
        <v>0</v>
      </c>
      <c r="S18" s="35">
        <v>0</v>
      </c>
      <c r="T18" s="35">
        <v>0</v>
      </c>
      <c r="U18" s="35">
        <v>0</v>
      </c>
      <c r="V18" s="35">
        <v>0</v>
      </c>
      <c r="W18" s="37">
        <v>0</v>
      </c>
    </row>
    <row r="19" spans="1:23" ht="16.5" thickTop="1" thickBot="1" x14ac:dyDescent="0.3">
      <c r="A19" s="78"/>
      <c r="B19" s="17" t="str">
        <f xml:space="preserve"> CONCATENATE(Setup!$B$8, ", ", LEFT(Setup!$C$8,2))</f>
        <v>&lt;TM2&gt;, 2</v>
      </c>
      <c r="C19" s="34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60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  <c r="Q19" s="84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8">
        <v>0</v>
      </c>
    </row>
    <row r="20" spans="1:23" ht="16.5" thickTop="1" thickBot="1" x14ac:dyDescent="0.3">
      <c r="A20" s="78"/>
      <c r="B20" s="17" t="str">
        <f xml:space="preserve"> CONCATENATE(Setup!$B$9, ", ", LEFT(Setup!$C$9,2))</f>
        <v>&lt;TM3&gt;, 3</v>
      </c>
      <c r="C20" s="34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60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  <c r="Q20" s="84">
        <v>0</v>
      </c>
      <c r="R20" s="32">
        <v>0</v>
      </c>
      <c r="S20" s="32">
        <v>0</v>
      </c>
      <c r="T20" s="32">
        <v>0</v>
      </c>
      <c r="U20" s="32">
        <v>0</v>
      </c>
      <c r="V20" s="32">
        <v>0</v>
      </c>
      <c r="W20" s="38">
        <v>0</v>
      </c>
    </row>
    <row r="21" spans="1:23" ht="16.5" thickTop="1" thickBot="1" x14ac:dyDescent="0.3">
      <c r="A21" s="78"/>
      <c r="B21" s="17" t="str">
        <f xml:space="preserve"> CONCATENATE(Setup!$B$10, ", ", LEFT(Setup!$C$10,2))</f>
        <v>&lt;TM4&gt;, 4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60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  <c r="Q21" s="85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.5" thickBot="1" x14ac:dyDescent="0.3">
      <c r="A22" s="78"/>
      <c r="B22" s="18" t="s">
        <v>35</v>
      </c>
      <c r="C22" s="21">
        <f xml:space="preserve"> SUM(C18:C21)</f>
        <v>0</v>
      </c>
      <c r="D22" s="21">
        <f t="shared" ref="D22:W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  <c r="Q22" s="63">
        <f t="shared" si="7"/>
        <v>0</v>
      </c>
      <c r="R22" s="21">
        <f t="shared" si="7"/>
        <v>0</v>
      </c>
      <c r="S22" s="21">
        <f t="shared" si="7"/>
        <v>0</v>
      </c>
      <c r="T22" s="21">
        <f t="shared" si="7"/>
        <v>0</v>
      </c>
      <c r="U22" s="21">
        <f t="shared" si="7"/>
        <v>0</v>
      </c>
      <c r="V22" s="21">
        <f t="shared" si="7"/>
        <v>0</v>
      </c>
      <c r="W22" s="21">
        <f t="shared" si="7"/>
        <v>0</v>
      </c>
    </row>
    <row r="23" spans="1:23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  <c r="Q23" s="63"/>
      <c r="R23" s="21"/>
      <c r="S23" s="21"/>
      <c r="T23" s="21"/>
      <c r="U23" s="21"/>
      <c r="V23" s="21"/>
      <c r="W23" s="21"/>
    </row>
    <row r="24" spans="1:23" ht="15.75" thickBot="1" x14ac:dyDescent="0.3">
      <c r="A24" s="78" t="s">
        <v>47</v>
      </c>
      <c r="B24" s="17" t="str">
        <f xml:space="preserve"> CONCATENATE(Setup!$B$7, ", ", LEFT(Setup!$C$7,2))</f>
        <v>&lt;TM1&gt;, 1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0</v>
      </c>
      <c r="N24" s="22">
        <f t="shared" si="9"/>
        <v>0</v>
      </c>
      <c r="O24" s="22">
        <f t="shared" si="9"/>
        <v>0</v>
      </c>
      <c r="P24" s="64">
        <f t="shared" si="9"/>
        <v>0</v>
      </c>
      <c r="Q24" s="65">
        <f t="shared" si="9"/>
        <v>0</v>
      </c>
      <c r="R24" s="22">
        <f t="shared" si="9"/>
        <v>0</v>
      </c>
      <c r="S24" s="22">
        <f t="shared" si="9"/>
        <v>0</v>
      </c>
      <c r="T24" s="22">
        <f t="shared" si="9"/>
        <v>0</v>
      </c>
      <c r="U24" s="22">
        <f t="shared" si="9"/>
        <v>0</v>
      </c>
      <c r="V24" s="22">
        <f t="shared" si="9"/>
        <v>0</v>
      </c>
      <c r="W24" s="22">
        <f t="shared" si="9"/>
        <v>0</v>
      </c>
    </row>
    <row r="25" spans="1:23" ht="15.75" thickBot="1" x14ac:dyDescent="0.3">
      <c r="A25" s="78"/>
      <c r="B25" s="17" t="str">
        <f xml:space="preserve"> CONCATENATE(Setup!$B$8, ", ", LEFT(Setup!$C$8,2))</f>
        <v>&lt;TM2&gt;, 2</v>
      </c>
      <c r="C25" s="22">
        <f xml:space="preserve"> $C19</f>
        <v>0</v>
      </c>
      <c r="D25" s="22">
        <f xml:space="preserve"> C$25 + D$19</f>
        <v>0</v>
      </c>
      <c r="E25" s="22">
        <f t="shared" ref="E25:I25" si="10" xml:space="preserve"> D$25 + E$19</f>
        <v>0</v>
      </c>
      <c r="F25" s="22">
        <f t="shared" si="10"/>
        <v>0</v>
      </c>
      <c r="G25" s="22">
        <f t="shared" si="10"/>
        <v>0</v>
      </c>
      <c r="H25" s="22">
        <f t="shared" si="10"/>
        <v>0</v>
      </c>
      <c r="I25" s="64">
        <f t="shared" si="10"/>
        <v>0</v>
      </c>
      <c r="J25" s="65">
        <f t="shared" ref="J25:W25" si="11" xml:space="preserve"> I$25 + J$19</f>
        <v>0</v>
      </c>
      <c r="K25" s="22">
        <f t="shared" si="11"/>
        <v>0</v>
      </c>
      <c r="L25" s="22">
        <f t="shared" si="11"/>
        <v>0</v>
      </c>
      <c r="M25" s="22">
        <f t="shared" si="11"/>
        <v>0</v>
      </c>
      <c r="N25" s="22">
        <f t="shared" si="11"/>
        <v>0</v>
      </c>
      <c r="O25" s="22">
        <f t="shared" si="11"/>
        <v>0</v>
      </c>
      <c r="P25" s="64">
        <f t="shared" si="11"/>
        <v>0</v>
      </c>
      <c r="Q25" s="65">
        <f t="shared" si="11"/>
        <v>0</v>
      </c>
      <c r="R25" s="22">
        <f t="shared" si="11"/>
        <v>0</v>
      </c>
      <c r="S25" s="22">
        <f t="shared" si="11"/>
        <v>0</v>
      </c>
      <c r="T25" s="22">
        <f t="shared" si="11"/>
        <v>0</v>
      </c>
      <c r="U25" s="22">
        <f t="shared" si="11"/>
        <v>0</v>
      </c>
      <c r="V25" s="22">
        <f t="shared" si="11"/>
        <v>0</v>
      </c>
      <c r="W25" s="22">
        <f t="shared" si="11"/>
        <v>0</v>
      </c>
    </row>
    <row r="26" spans="1:23" ht="15.75" thickBot="1" x14ac:dyDescent="0.3">
      <c r="A26" s="78"/>
      <c r="B26" s="17" t="str">
        <f xml:space="preserve"> CONCATENATE(Setup!$B$9, ", ", LEFT(Setup!$C$9,2))</f>
        <v>&lt;TM3&gt;, 3</v>
      </c>
      <c r="C26" s="22">
        <f xml:space="preserve"> $C20</f>
        <v>0</v>
      </c>
      <c r="D26" s="22">
        <f xml:space="preserve"> C$26 + D$20</f>
        <v>0</v>
      </c>
      <c r="E26" s="22">
        <f t="shared" ref="E26:I26" si="12" xml:space="preserve"> D$26 + E$20</f>
        <v>0</v>
      </c>
      <c r="F26" s="22">
        <f t="shared" si="12"/>
        <v>0</v>
      </c>
      <c r="G26" s="22">
        <f t="shared" si="12"/>
        <v>0</v>
      </c>
      <c r="H26" s="22">
        <f t="shared" si="12"/>
        <v>0</v>
      </c>
      <c r="I26" s="64">
        <f t="shared" si="12"/>
        <v>0</v>
      </c>
      <c r="J26" s="65">
        <f t="shared" ref="J26:W26" si="13" xml:space="preserve"> I$26 + J$20</f>
        <v>0</v>
      </c>
      <c r="K26" s="22">
        <f t="shared" si="13"/>
        <v>0</v>
      </c>
      <c r="L26" s="22">
        <f t="shared" si="13"/>
        <v>0</v>
      </c>
      <c r="M26" s="22">
        <f t="shared" si="13"/>
        <v>0</v>
      </c>
      <c r="N26" s="22">
        <f t="shared" si="13"/>
        <v>0</v>
      </c>
      <c r="O26" s="22">
        <f t="shared" si="13"/>
        <v>0</v>
      </c>
      <c r="P26" s="64">
        <f t="shared" si="13"/>
        <v>0</v>
      </c>
      <c r="Q26" s="65">
        <f t="shared" si="13"/>
        <v>0</v>
      </c>
      <c r="R26" s="22">
        <f t="shared" si="13"/>
        <v>0</v>
      </c>
      <c r="S26" s="22">
        <f t="shared" si="13"/>
        <v>0</v>
      </c>
      <c r="T26" s="22">
        <f t="shared" si="13"/>
        <v>0</v>
      </c>
      <c r="U26" s="22">
        <f t="shared" si="13"/>
        <v>0</v>
      </c>
      <c r="V26" s="22">
        <f t="shared" si="13"/>
        <v>0</v>
      </c>
      <c r="W26" s="22">
        <f t="shared" si="13"/>
        <v>0</v>
      </c>
    </row>
    <row r="27" spans="1:23" ht="15.75" thickBot="1" x14ac:dyDescent="0.3">
      <c r="A27" s="78"/>
      <c r="B27" s="17" t="str">
        <f xml:space="preserve"> CONCATENATE(Setup!$B$10, ", ", LEFT(Setup!$C$10,2))</f>
        <v>&lt;TM4&gt;, 4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4">
        <f t="shared" si="14"/>
        <v>0</v>
      </c>
      <c r="J27" s="65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4">
        <f t="shared" si="15"/>
        <v>0</v>
      </c>
      <c r="Q27" s="65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.5" thickBot="1" x14ac:dyDescent="0.3">
      <c r="A28" s="78"/>
      <c r="B28" s="18" t="s">
        <v>35</v>
      </c>
      <c r="C28" s="21">
        <f xml:space="preserve"> SUM(C24:C27)</f>
        <v>0</v>
      </c>
      <c r="D28" s="21">
        <f t="shared" ref="D28:W28" si="16" xml:space="preserve"> SUM(D24:D27)</f>
        <v>0</v>
      </c>
      <c r="E28" s="21">
        <f t="shared" si="16"/>
        <v>0</v>
      </c>
      <c r="F28" s="21">
        <f t="shared" si="16"/>
        <v>0</v>
      </c>
      <c r="G28" s="21">
        <f t="shared" si="16"/>
        <v>0</v>
      </c>
      <c r="H28" s="21">
        <f t="shared" si="16"/>
        <v>0</v>
      </c>
      <c r="I28" s="62">
        <f t="shared" si="16"/>
        <v>0</v>
      </c>
      <c r="J28" s="63">
        <f t="shared" si="16"/>
        <v>0</v>
      </c>
      <c r="K28" s="21">
        <f t="shared" si="16"/>
        <v>0</v>
      </c>
      <c r="L28" s="21">
        <f t="shared" si="16"/>
        <v>0</v>
      </c>
      <c r="M28" s="21">
        <f t="shared" si="16"/>
        <v>0</v>
      </c>
      <c r="N28" s="21">
        <f t="shared" si="16"/>
        <v>0</v>
      </c>
      <c r="O28" s="21">
        <f t="shared" si="16"/>
        <v>0</v>
      </c>
      <c r="P28" s="62">
        <f t="shared" si="16"/>
        <v>0</v>
      </c>
      <c r="Q28" s="63">
        <f t="shared" si="16"/>
        <v>0</v>
      </c>
      <c r="R28" s="21">
        <f t="shared" si="16"/>
        <v>0</v>
      </c>
      <c r="S28" s="21">
        <f t="shared" si="16"/>
        <v>0</v>
      </c>
      <c r="T28" s="21">
        <f t="shared" si="16"/>
        <v>0</v>
      </c>
      <c r="U28" s="21">
        <f t="shared" si="16"/>
        <v>0</v>
      </c>
      <c r="V28" s="21">
        <f t="shared" si="16"/>
        <v>0</v>
      </c>
      <c r="W28" s="21">
        <f t="shared" si="16"/>
        <v>0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  <c r="Q29" s="63"/>
      <c r="R29" s="21"/>
      <c r="S29" s="21"/>
      <c r="T29" s="21"/>
      <c r="U29" s="21"/>
      <c r="V29" s="21"/>
      <c r="W29" s="21"/>
    </row>
    <row r="30" spans="1:23" ht="15.75" thickBot="1" x14ac:dyDescent="0.3">
      <c r="A30" s="77" t="s">
        <v>6</v>
      </c>
      <c r="B30" s="17" t="str">
        <f xml:space="preserve"> CONCATENATE(Setup!$B$7, ", ", LEFT(Setup!$C$7,2))</f>
        <v>&lt;TM1&gt;, 1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</v>
      </c>
      <c r="G30" s="22">
        <f t="shared" si="17"/>
        <v>0</v>
      </c>
      <c r="H30" s="22">
        <f t="shared" si="17"/>
        <v>0</v>
      </c>
      <c r="I30" s="64">
        <f t="shared" si="17"/>
        <v>0</v>
      </c>
      <c r="J30" s="65">
        <f t="shared" si="17"/>
        <v>0</v>
      </c>
      <c r="K30" s="22">
        <f t="shared" si="17"/>
        <v>0</v>
      </c>
      <c r="L30" s="22">
        <f t="shared" si="17"/>
        <v>0</v>
      </c>
      <c r="M30" s="22">
        <f t="shared" si="17"/>
        <v>0</v>
      </c>
      <c r="N30" s="22">
        <f t="shared" si="17"/>
        <v>0</v>
      </c>
      <c r="O30" s="22">
        <f t="shared" si="17"/>
        <v>0</v>
      </c>
      <c r="P30" s="64">
        <f t="shared" si="17"/>
        <v>0</v>
      </c>
      <c r="Q30" s="65">
        <f t="shared" si="17"/>
        <v>0</v>
      </c>
      <c r="R30" s="22">
        <f t="shared" si="17"/>
        <v>0</v>
      </c>
      <c r="S30" s="22">
        <f t="shared" si="17"/>
        <v>0</v>
      </c>
      <c r="T30" s="22">
        <f t="shared" si="17"/>
        <v>0</v>
      </c>
      <c r="U30" s="22">
        <f t="shared" si="17"/>
        <v>0</v>
      </c>
      <c r="V30" s="22">
        <f t="shared" si="17"/>
        <v>0</v>
      </c>
      <c r="W30" s="22">
        <f t="shared" si="17"/>
        <v>0</v>
      </c>
    </row>
    <row r="31" spans="1:23" ht="15.75" thickBot="1" x14ac:dyDescent="0.3">
      <c r="A31" s="77"/>
      <c r="B31" s="17" t="str">
        <f xml:space="preserve"> CONCATENATE(Setup!$B$8, ", ", LEFT(Setup!$C$8,2))</f>
        <v>&lt;TM2&gt;, 2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W31" si="18" xml:space="preserve"> (E$13 + E$25) / E$5</f>
        <v>0</v>
      </c>
      <c r="F31" s="22">
        <f t="shared" si="18"/>
        <v>0</v>
      </c>
      <c r="G31" s="22">
        <f t="shared" si="18"/>
        <v>0</v>
      </c>
      <c r="H31" s="22">
        <f t="shared" si="18"/>
        <v>0</v>
      </c>
      <c r="I31" s="64">
        <f t="shared" si="18"/>
        <v>0</v>
      </c>
      <c r="J31" s="65">
        <f t="shared" si="18"/>
        <v>0</v>
      </c>
      <c r="K31" s="22">
        <f t="shared" si="18"/>
        <v>0</v>
      </c>
      <c r="L31" s="22">
        <f t="shared" si="18"/>
        <v>0</v>
      </c>
      <c r="M31" s="22">
        <f t="shared" si="18"/>
        <v>0</v>
      </c>
      <c r="N31" s="22">
        <f t="shared" si="18"/>
        <v>0</v>
      </c>
      <c r="O31" s="22">
        <f t="shared" si="18"/>
        <v>0</v>
      </c>
      <c r="P31" s="64">
        <f t="shared" si="18"/>
        <v>0</v>
      </c>
      <c r="Q31" s="65">
        <f t="shared" si="18"/>
        <v>0</v>
      </c>
      <c r="R31" s="22">
        <f t="shared" si="18"/>
        <v>0</v>
      </c>
      <c r="S31" s="22">
        <f t="shared" si="18"/>
        <v>0</v>
      </c>
      <c r="T31" s="22">
        <f t="shared" si="18"/>
        <v>0</v>
      </c>
      <c r="U31" s="22">
        <f t="shared" si="18"/>
        <v>0</v>
      </c>
      <c r="V31" s="22">
        <f t="shared" si="18"/>
        <v>0</v>
      </c>
      <c r="W31" s="22">
        <f t="shared" si="18"/>
        <v>0</v>
      </c>
    </row>
    <row r="32" spans="1:23" ht="15.75" thickBot="1" x14ac:dyDescent="0.3">
      <c r="A32" s="77"/>
      <c r="B32" s="17" t="str">
        <f xml:space="preserve"> CONCATENATE(Setup!$B$9, ", ", LEFT(Setup!$C$9,2))</f>
        <v>&lt;TM3&gt;, 3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W32" si="19" xml:space="preserve"> (E$14 + E$26) / E$5</f>
        <v>0</v>
      </c>
      <c r="F32" s="22">
        <f t="shared" si="19"/>
        <v>0</v>
      </c>
      <c r="G32" s="22">
        <f t="shared" si="19"/>
        <v>0</v>
      </c>
      <c r="H32" s="22">
        <f t="shared" si="19"/>
        <v>0</v>
      </c>
      <c r="I32" s="64">
        <f t="shared" si="19"/>
        <v>0</v>
      </c>
      <c r="J32" s="65">
        <f t="shared" si="19"/>
        <v>0</v>
      </c>
      <c r="K32" s="22">
        <f t="shared" si="19"/>
        <v>0</v>
      </c>
      <c r="L32" s="22">
        <f t="shared" si="19"/>
        <v>0</v>
      </c>
      <c r="M32" s="22">
        <f t="shared" si="19"/>
        <v>0</v>
      </c>
      <c r="N32" s="22">
        <f t="shared" si="19"/>
        <v>0</v>
      </c>
      <c r="O32" s="22">
        <f t="shared" si="19"/>
        <v>0</v>
      </c>
      <c r="P32" s="64">
        <f t="shared" si="19"/>
        <v>0</v>
      </c>
      <c r="Q32" s="65">
        <f t="shared" si="19"/>
        <v>0</v>
      </c>
      <c r="R32" s="22">
        <f t="shared" si="19"/>
        <v>0</v>
      </c>
      <c r="S32" s="22">
        <f t="shared" si="19"/>
        <v>0</v>
      </c>
      <c r="T32" s="22">
        <f t="shared" si="19"/>
        <v>0</v>
      </c>
      <c r="U32" s="22">
        <f t="shared" si="19"/>
        <v>0</v>
      </c>
      <c r="V32" s="22">
        <f t="shared" si="19"/>
        <v>0</v>
      </c>
      <c r="W32" s="22">
        <f t="shared" si="19"/>
        <v>0</v>
      </c>
    </row>
    <row r="33" spans="1:23" ht="15.75" thickBot="1" x14ac:dyDescent="0.3">
      <c r="A33" s="77"/>
      <c r="B33" s="17" t="str">
        <f xml:space="preserve"> CONCATENATE(Setup!$B$10, ", ", LEFT(Setup!$C$10,2))</f>
        <v>&lt;TM4&gt;, 4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4">
        <f t="shared" si="20"/>
        <v>0</v>
      </c>
      <c r="J33" s="65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4">
        <f t="shared" si="20"/>
        <v>0</v>
      </c>
      <c r="Q33" s="65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.5" thickBot="1" x14ac:dyDescent="0.3">
      <c r="A34" s="77"/>
      <c r="B34" s="18" t="s">
        <v>35</v>
      </c>
      <c r="C34" s="21">
        <f xml:space="preserve"> SUM(C30:C33)</f>
        <v>0</v>
      </c>
      <c r="D34" s="21">
        <f t="shared" ref="D34:W34" si="21" xml:space="preserve"> SUM(D30:D33)</f>
        <v>0</v>
      </c>
      <c r="E34" s="21">
        <f t="shared" si="21"/>
        <v>0</v>
      </c>
      <c r="F34" s="21">
        <f t="shared" si="21"/>
        <v>0</v>
      </c>
      <c r="G34" s="21">
        <f t="shared" si="21"/>
        <v>0</v>
      </c>
      <c r="H34" s="21">
        <f t="shared" si="21"/>
        <v>0</v>
      </c>
      <c r="I34" s="62">
        <f t="shared" si="21"/>
        <v>0</v>
      </c>
      <c r="J34" s="63">
        <f t="shared" si="21"/>
        <v>0</v>
      </c>
      <c r="K34" s="21">
        <f t="shared" si="21"/>
        <v>0</v>
      </c>
      <c r="L34" s="21">
        <f t="shared" si="21"/>
        <v>0</v>
      </c>
      <c r="M34" s="21">
        <f t="shared" si="21"/>
        <v>0</v>
      </c>
      <c r="N34" s="21">
        <f t="shared" si="21"/>
        <v>0</v>
      </c>
      <c r="O34" s="21">
        <f t="shared" si="21"/>
        <v>0</v>
      </c>
      <c r="P34" s="62">
        <f t="shared" si="21"/>
        <v>0</v>
      </c>
      <c r="Q34" s="63">
        <f t="shared" si="21"/>
        <v>0</v>
      </c>
      <c r="R34" s="21">
        <f t="shared" si="21"/>
        <v>0</v>
      </c>
      <c r="S34" s="21">
        <f t="shared" si="21"/>
        <v>0</v>
      </c>
      <c r="T34" s="21">
        <f t="shared" si="21"/>
        <v>0</v>
      </c>
      <c r="U34" s="21">
        <f t="shared" si="21"/>
        <v>0</v>
      </c>
      <c r="V34" s="21">
        <f t="shared" si="21"/>
        <v>0</v>
      </c>
      <c r="W34" s="21">
        <f t="shared" si="21"/>
        <v>0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36</v>
      </c>
      <c r="C36" s="24">
        <v>1</v>
      </c>
      <c r="D36" s="24">
        <v>2</v>
      </c>
      <c r="E36" s="24">
        <v>3</v>
      </c>
      <c r="F36" s="24" t="s">
        <v>40</v>
      </c>
    </row>
    <row r="37" spans="1:23" ht="15.75" thickBot="1" x14ac:dyDescent="0.3">
      <c r="A37" s="77" t="s">
        <v>12</v>
      </c>
      <c r="B37" s="17" t="str">
        <f xml:space="preserve"> CONCATENATE(Setup!$B$7, ", ", LEFT(Setup!$C$7,2))</f>
        <v>&lt;TM1&gt;, 1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SUM(Q6:W6) + SUM(Q18:W18)</f>
        <v>0</v>
      </c>
      <c r="F37" s="25">
        <f xml:space="preserve"> SUM(C37:E37)</f>
        <v>0</v>
      </c>
    </row>
    <row r="38" spans="1:23" ht="15.75" thickBot="1" x14ac:dyDescent="0.3">
      <c r="A38" s="77"/>
      <c r="B38" s="17" t="str">
        <f xml:space="preserve"> CONCATENATE(Setup!$B$8, ", ", LEFT(Setup!$C$8,2))</f>
        <v>&lt;TM2&gt;, 2</v>
      </c>
      <c r="C38" s="25">
        <f t="shared" ref="C38:C40" si="22" xml:space="preserve"> SUM(C7:I7) + SUM(C19:I19)</f>
        <v>0</v>
      </c>
      <c r="D38" s="25">
        <f t="shared" ref="D38:D40" si="23" xml:space="preserve"> SUM(J7:P7) + SUM(J19:P19)</f>
        <v>0</v>
      </c>
      <c r="E38" s="25">
        <f t="shared" ref="E38:E40" si="24" xml:space="preserve"> SUM(Q7:W7) + SUM(Q19:W19)</f>
        <v>0</v>
      </c>
      <c r="F38" s="25">
        <f t="shared" ref="F38:F41" si="25" xml:space="preserve"> SUM(C38:E38)</f>
        <v>0</v>
      </c>
    </row>
    <row r="39" spans="1:23" ht="15.75" thickBot="1" x14ac:dyDescent="0.3">
      <c r="A39" s="77"/>
      <c r="B39" s="17" t="str">
        <f xml:space="preserve"> CONCATENATE(Setup!$B$9, ", ", LEFT(Setup!$C$9,2))</f>
        <v>&lt;TM3&gt;, 3</v>
      </c>
      <c r="C39" s="25">
        <f t="shared" si="22"/>
        <v>0</v>
      </c>
      <c r="D39" s="25">
        <f t="shared" si="23"/>
        <v>0</v>
      </c>
      <c r="E39" s="25">
        <f t="shared" si="24"/>
        <v>0</v>
      </c>
      <c r="F39" s="25">
        <f t="shared" si="25"/>
        <v>0</v>
      </c>
    </row>
    <row r="40" spans="1:23" ht="15.75" thickBot="1" x14ac:dyDescent="0.3">
      <c r="A40" s="77"/>
      <c r="B40" s="17" t="str">
        <f xml:space="preserve"> CONCATENATE(Setup!$B$10, ", ", LEFT(Setup!$C$10,2))</f>
        <v>&lt;TM4&gt;, 4</v>
      </c>
      <c r="C40" s="25">
        <f t="shared" si="22"/>
        <v>0</v>
      </c>
      <c r="D40" s="25">
        <f t="shared" si="23"/>
        <v>0</v>
      </c>
      <c r="E40" s="25">
        <f t="shared" si="24"/>
        <v>0</v>
      </c>
      <c r="F40" s="25">
        <f t="shared" si="25"/>
        <v>0</v>
      </c>
    </row>
    <row r="41" spans="1:23" ht="16.5" thickBot="1" x14ac:dyDescent="0.3">
      <c r="A41" s="77"/>
      <c r="B41" s="18" t="s">
        <v>35</v>
      </c>
      <c r="C41" s="21">
        <f xml:space="preserve"> SUM(C37:C40)</f>
        <v>0</v>
      </c>
      <c r="D41" s="21">
        <f t="shared" ref="D41:E41" si="26" xml:space="preserve"> SUM(D37:D40)</f>
        <v>0</v>
      </c>
      <c r="E41" s="21">
        <f t="shared" si="26"/>
        <v>0</v>
      </c>
      <c r="F41" s="21">
        <f t="shared" si="25"/>
        <v>0</v>
      </c>
    </row>
    <row r="42" spans="1:23" ht="15.75" thickBot="1" x14ac:dyDescent="0.3">
      <c r="A42" s="19"/>
    </row>
    <row r="43" spans="1:23" ht="15.75" thickBot="1" x14ac:dyDescent="0.3">
      <c r="A43" s="77" t="s">
        <v>13</v>
      </c>
      <c r="B43" s="17" t="str">
        <f xml:space="preserve"> CONCATENATE(Setup!$B$7, ", ", LEFT(Setup!$C$7,2))</f>
        <v>&lt;TM1&gt;, 1</v>
      </c>
      <c r="C43" s="25">
        <f xml:space="preserve"> C37 / C36</f>
        <v>0</v>
      </c>
      <c r="D43" s="25">
        <f xml:space="preserve"> SUM(C37:D37) / D$36</f>
        <v>0</v>
      </c>
      <c r="E43" s="25">
        <f xml:space="preserve"> SUM(C37:E37) / E$36</f>
        <v>0</v>
      </c>
    </row>
    <row r="44" spans="1:23" ht="15.75" thickBot="1" x14ac:dyDescent="0.3">
      <c r="A44" s="77"/>
      <c r="B44" s="17" t="str">
        <f xml:space="preserve"> CONCATENATE(Setup!$B$8, ", ", LEFT(Setup!$C$8,2))</f>
        <v>&lt;TM2&gt;, 2</v>
      </c>
      <c r="C44" s="25">
        <f xml:space="preserve"> C38 / C36</f>
        <v>0</v>
      </c>
      <c r="D44" s="25">
        <f t="shared" ref="D44:D46" si="27" xml:space="preserve"> SUM(C38:D38) / D$36</f>
        <v>0</v>
      </c>
      <c r="E44" s="25">
        <f t="shared" ref="E44:E46" si="28" xml:space="preserve"> SUM(C38:E38) / E$36</f>
        <v>0</v>
      </c>
    </row>
    <row r="45" spans="1:23" ht="15.75" thickBot="1" x14ac:dyDescent="0.3">
      <c r="A45" s="77"/>
      <c r="B45" s="17" t="str">
        <f xml:space="preserve"> CONCATENATE(Setup!$B$9, ", ", LEFT(Setup!$C$9,2))</f>
        <v>&lt;TM3&gt;, 3</v>
      </c>
      <c r="C45" s="25">
        <f xml:space="preserve"> C39 / C36</f>
        <v>0</v>
      </c>
      <c r="D45" s="25">
        <f t="shared" si="27"/>
        <v>0</v>
      </c>
      <c r="E45" s="25">
        <f t="shared" si="28"/>
        <v>0</v>
      </c>
    </row>
    <row r="46" spans="1:23" ht="15.75" thickBot="1" x14ac:dyDescent="0.3">
      <c r="A46" s="77"/>
      <c r="B46" s="17" t="str">
        <f xml:space="preserve"> CONCATENATE(Setup!$B$10, ", ", LEFT(Setup!$C$10,2))</f>
        <v>&lt;TM4&gt;, 4</v>
      </c>
      <c r="C46" s="25">
        <f xml:space="preserve"> C40 / C36</f>
        <v>0</v>
      </c>
      <c r="D46" s="25">
        <f t="shared" si="27"/>
        <v>0</v>
      </c>
      <c r="E46" s="25">
        <f t="shared" si="28"/>
        <v>0</v>
      </c>
    </row>
    <row r="47" spans="1:23" ht="16.5" thickBot="1" x14ac:dyDescent="0.3">
      <c r="A47" s="77"/>
      <c r="B47" s="18" t="s">
        <v>35</v>
      </c>
      <c r="C47" s="21">
        <f xml:space="preserve"> SUM(C43:C46)</f>
        <v>0</v>
      </c>
      <c r="D47" s="21">
        <f t="shared" ref="D47:E47" si="29" xml:space="preserve"> SUM(D43:D46)</f>
        <v>0</v>
      </c>
      <c r="E47" s="21">
        <f t="shared" si="29"/>
        <v>0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D7" sqref="D7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34</v>
      </c>
    </row>
    <row r="2" spans="1:16" ht="18.75" x14ac:dyDescent="0.3">
      <c r="B2" s="26" t="str">
        <f>SheetName</f>
        <v>Sprint 1</v>
      </c>
      <c r="C2" s="27" t="s">
        <v>43</v>
      </c>
    </row>
    <row r="3" spans="1:16" x14ac:dyDescent="0.25">
      <c r="B3" s="31" t="s">
        <v>41</v>
      </c>
      <c r="C3" s="79" t="s">
        <v>37</v>
      </c>
      <c r="D3" s="79"/>
      <c r="E3" s="79"/>
      <c r="F3" s="79"/>
      <c r="G3" s="79"/>
      <c r="H3" s="79"/>
      <c r="I3" s="79"/>
      <c r="J3" s="80" t="s">
        <v>38</v>
      </c>
      <c r="K3" s="79"/>
      <c r="L3" s="79"/>
      <c r="M3" s="79"/>
      <c r="N3" s="79"/>
      <c r="O3" s="79"/>
      <c r="P3" s="81"/>
    </row>
    <row r="4" spans="1:16" x14ac:dyDescent="0.25">
      <c r="B4" s="5" t="s">
        <v>11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32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2" t="s">
        <v>45</v>
      </c>
      <c r="B6" s="17" t="str">
        <f xml:space="preserve"> CONCATENATE(Setup!$B$7, ", ", LEFT(Setup!$C$7,2))</f>
        <v>&lt;TM1&gt;, 1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2"/>
      <c r="B7" s="17" t="str">
        <f xml:space="preserve"> CONCATENATE(Setup!$B$8, ", ", LEFT(Setup!$C$8,2))</f>
        <v>&lt;TM2&gt;, 2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2"/>
      <c r="B8" s="17" t="str">
        <f xml:space="preserve"> CONCATENATE(Setup!$B$9, ", ", LEFT(Setup!$C$9,2))</f>
        <v>&lt;TM3&gt;, 3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2"/>
      <c r="B9" s="17" t="str">
        <f xml:space="preserve"> CONCATENATE(Setup!$B$10, ", ", LEFT(Setup!$C$10,2))</f>
        <v>&lt;TM4&gt;, 4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2"/>
      <c r="B10" s="18" t="s">
        <v>35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2" t="s">
        <v>46</v>
      </c>
      <c r="B12" s="17" t="str">
        <f xml:space="preserve"> CONCATENATE(Setup!$B$7, ", ", LEFT(Setup!$C$7,2))</f>
        <v>&lt;TM1&gt;, 1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2"/>
      <c r="B13" s="17" t="str">
        <f xml:space="preserve"> CONCATENATE(Setup!$B$8, ", ", LEFT(Setup!$C$8,2))</f>
        <v>&lt;TM2&gt;, 2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2"/>
      <c r="B14" s="17" t="str">
        <f xml:space="preserve"> CONCATENATE(Setup!$B$9, ", ", LEFT(Setup!$C$9,2))</f>
        <v>&lt;TM3&gt;, 3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2"/>
      <c r="B15" s="17" t="str">
        <f xml:space="preserve"> CONCATENATE(Setup!$B$10, ", ", LEFT(Setup!$C$10,2))</f>
        <v>&lt;TM4&gt;, 4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2"/>
      <c r="B16" s="18" t="s">
        <v>35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78" t="s">
        <v>48</v>
      </c>
      <c r="B18" s="17" t="str">
        <f xml:space="preserve"> CONCATENATE(Setup!$B$7, ", ", LEFT(Setup!$C$7,2))</f>
        <v>&lt;TM1&gt;, 1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78"/>
      <c r="B19" s="17" t="str">
        <f xml:space="preserve"> CONCATENATE(Setup!$B$8, ", ", LEFT(Setup!$C$8,2))</f>
        <v>&lt;TM2&gt;, 2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78"/>
      <c r="B20" s="17" t="str">
        <f xml:space="preserve"> CONCATENATE(Setup!$B$9, ", ", LEFT(Setup!$C$9,2))</f>
        <v>&lt;TM3&gt;, 3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78"/>
      <c r="B21" s="17" t="str">
        <f xml:space="preserve"> CONCATENATE(Setup!$B$10, ", ", LEFT(Setup!$C$10,2))</f>
        <v>&lt;TM4&gt;, 4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78"/>
      <c r="B22" s="18" t="s">
        <v>35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78" t="s">
        <v>47</v>
      </c>
      <c r="B24" s="17" t="str">
        <f xml:space="preserve"> CONCATENATE(Setup!$B$7, ", ", LEFT(Setup!$C$7,2))</f>
        <v>&lt;TM1&gt;, 1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78"/>
      <c r="B25" s="17" t="str">
        <f xml:space="preserve"> CONCATENATE(Setup!$B$8, ", ", LEFT(Setup!$C$8,2))</f>
        <v>&lt;TM2&gt;, 2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78"/>
      <c r="B26" s="17" t="str">
        <f xml:space="preserve"> CONCATENATE(Setup!$B$9, ", ", LEFT(Setup!$C$9,2))</f>
        <v>&lt;TM3&gt;, 3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78"/>
      <c r="B27" s="17" t="str">
        <f xml:space="preserve"> CONCATENATE(Setup!$B$10, ", ", LEFT(Setup!$C$10,2))</f>
        <v>&lt;TM4&gt;, 4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78"/>
      <c r="B28" s="18" t="s">
        <v>35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77" t="s">
        <v>6</v>
      </c>
      <c r="B30" s="17" t="str">
        <f xml:space="preserve"> CONCATENATE(Setup!$B$7, ", ", LEFT(Setup!$C$7,2))</f>
        <v>&lt;TM1&gt;, 1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77"/>
      <c r="B31" s="17" t="str">
        <f xml:space="preserve"> CONCATENATE(Setup!$B$8, ", ", LEFT(Setup!$C$8,2))</f>
        <v>&lt;TM2&gt;, 2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77"/>
      <c r="B32" s="17" t="str">
        <f xml:space="preserve"> CONCATENATE(Setup!$B$9, ", ", LEFT(Setup!$C$9,2))</f>
        <v>&lt;TM3&gt;, 3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77"/>
      <c r="B33" s="17" t="str">
        <f xml:space="preserve"> CONCATENATE(Setup!$B$10, ", ", LEFT(Setup!$C$10,2))</f>
        <v>&lt;TM4&gt;, 4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77"/>
      <c r="B34" s="18" t="s">
        <v>35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36</v>
      </c>
      <c r="C36" s="24">
        <v>1</v>
      </c>
      <c r="D36" s="24">
        <v>2</v>
      </c>
      <c r="E36" s="24" t="s">
        <v>40</v>
      </c>
    </row>
    <row r="37" spans="1:16" ht="15.75" thickBot="1" x14ac:dyDescent="0.3">
      <c r="A37" s="77" t="s">
        <v>12</v>
      </c>
      <c r="B37" s="17" t="str">
        <f xml:space="preserve"> CONCATENATE(Setup!$B$7, ", ", LEFT(Setup!$C$7,2))</f>
        <v>&lt;TM1&gt;, 1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77"/>
      <c r="B38" s="17" t="str">
        <f xml:space="preserve"> CONCATENATE(Setup!$B$8, ", ", LEFT(Setup!$C$8,2))</f>
        <v>&lt;TM2&gt;, 2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77"/>
      <c r="B39" s="17" t="str">
        <f xml:space="preserve"> CONCATENATE(Setup!$B$9, ", ", LEFT(Setup!$C$9,2))</f>
        <v>&lt;TM3&gt;, 3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77"/>
      <c r="B40" s="17" t="str">
        <f xml:space="preserve"> CONCATENATE(Setup!$B$10, ", ", LEFT(Setup!$C$10,2))</f>
        <v>&lt;TM4&gt;, 4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77"/>
      <c r="B41" s="18" t="s">
        <v>35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7" t="s">
        <v>13</v>
      </c>
      <c r="B43" s="17" t="str">
        <f xml:space="preserve"> CONCATENATE(Setup!$B$7, ", ", LEFT(Setup!$C$7,2))</f>
        <v>&lt;TM1&gt;, 1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77"/>
      <c r="B44" s="17" t="str">
        <f xml:space="preserve"> CONCATENATE(Setup!$B$8, ", ", LEFT(Setup!$C$8,2))</f>
        <v>&lt;TM2&gt;, 2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77"/>
      <c r="B45" s="17" t="str">
        <f xml:space="preserve"> CONCATENATE(Setup!$B$9, ", ", LEFT(Setup!$C$9,2))</f>
        <v>&lt;TM3&gt;, 3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77"/>
      <c r="B46" s="17" t="str">
        <f xml:space="preserve"> CONCATENATE(Setup!$B$10, ", ", LEFT(Setup!$C$10,2))</f>
        <v>&lt;TM4&gt;, 4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77"/>
      <c r="B47" s="18" t="s">
        <v>35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A24:A28"/>
    <mergeCell ref="C3:I3"/>
    <mergeCell ref="J3:P3"/>
    <mergeCell ref="A6:A10"/>
    <mergeCell ref="A12:A16"/>
    <mergeCell ref="A18:A22"/>
  </mergeCell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37" sqref="C37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34</v>
      </c>
    </row>
    <row r="2" spans="1:16" ht="18.75" x14ac:dyDescent="0.3">
      <c r="B2" s="26" t="str">
        <f>SheetName</f>
        <v>Sprint 2</v>
      </c>
      <c r="C2" s="27" t="s">
        <v>43</v>
      </c>
    </row>
    <row r="3" spans="1:16" x14ac:dyDescent="0.25">
      <c r="B3" s="31" t="s">
        <v>41</v>
      </c>
      <c r="C3" s="79" t="s">
        <v>37</v>
      </c>
      <c r="D3" s="79"/>
      <c r="E3" s="79"/>
      <c r="F3" s="79"/>
      <c r="G3" s="79"/>
      <c r="H3" s="79"/>
      <c r="I3" s="79"/>
      <c r="J3" s="80" t="s">
        <v>38</v>
      </c>
      <c r="K3" s="79"/>
      <c r="L3" s="79"/>
      <c r="M3" s="79"/>
      <c r="N3" s="79"/>
      <c r="O3" s="79"/>
      <c r="P3" s="81"/>
    </row>
    <row r="4" spans="1:16" x14ac:dyDescent="0.25">
      <c r="B4" s="5" t="s">
        <v>11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32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2" t="s">
        <v>45</v>
      </c>
      <c r="B6" s="17" t="str">
        <f xml:space="preserve"> CONCATENATE(Setup!$B$7, ", ", LEFT(Setup!$C$7,2))</f>
        <v>&lt;TM1&gt;, 1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2"/>
      <c r="B7" s="17" t="str">
        <f xml:space="preserve"> CONCATENATE(Setup!$B$8, ", ", LEFT(Setup!$C$8,2))</f>
        <v>&lt;TM2&gt;, 2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2"/>
      <c r="B8" s="17" t="str">
        <f xml:space="preserve"> CONCATENATE(Setup!$B$9, ", ", LEFT(Setup!$C$9,2))</f>
        <v>&lt;TM3&gt;, 3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2"/>
      <c r="B9" s="17" t="str">
        <f xml:space="preserve"> CONCATENATE(Setup!$B$10, ", ", LEFT(Setup!$C$10,2))</f>
        <v>&lt;TM4&gt;, 4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2"/>
      <c r="B10" s="18" t="s">
        <v>35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2" t="s">
        <v>46</v>
      </c>
      <c r="B12" s="17" t="str">
        <f xml:space="preserve"> CONCATENATE(Setup!$B$7, ", ", LEFT(Setup!$C$7,2))</f>
        <v>&lt;TM1&gt;, 1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2"/>
      <c r="B13" s="17" t="str">
        <f xml:space="preserve"> CONCATENATE(Setup!$B$8, ", ", LEFT(Setup!$C$8,2))</f>
        <v>&lt;TM2&gt;, 2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2"/>
      <c r="B14" s="17" t="str">
        <f xml:space="preserve"> CONCATENATE(Setup!$B$9, ", ", LEFT(Setup!$C$9,2))</f>
        <v>&lt;TM3&gt;, 3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2"/>
      <c r="B15" s="17" t="str">
        <f xml:space="preserve"> CONCATENATE(Setup!$B$10, ", ", LEFT(Setup!$C$10,2))</f>
        <v>&lt;TM4&gt;, 4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2"/>
      <c r="B16" s="18" t="s">
        <v>35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78" t="s">
        <v>48</v>
      </c>
      <c r="B18" s="17" t="str">
        <f xml:space="preserve"> CONCATENATE(Setup!$B$7, ", ", LEFT(Setup!$C$7,2))</f>
        <v>&lt;TM1&gt;, 1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78"/>
      <c r="B19" s="17" t="str">
        <f xml:space="preserve"> CONCATENATE(Setup!$B$8, ", ", LEFT(Setup!$C$8,2))</f>
        <v>&lt;TM2&gt;, 2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78"/>
      <c r="B20" s="17" t="str">
        <f xml:space="preserve"> CONCATENATE(Setup!$B$9, ", ", LEFT(Setup!$C$9,2))</f>
        <v>&lt;TM3&gt;, 3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78"/>
      <c r="B21" s="17" t="str">
        <f xml:space="preserve"> CONCATENATE(Setup!$B$10, ", ", LEFT(Setup!$C$10,2))</f>
        <v>&lt;TM4&gt;, 4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78"/>
      <c r="B22" s="18" t="s">
        <v>35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78" t="s">
        <v>47</v>
      </c>
      <c r="B24" s="17" t="str">
        <f xml:space="preserve"> CONCATENATE(Setup!$B$7, ", ", LEFT(Setup!$C$7,2))</f>
        <v>&lt;TM1&gt;, 1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78"/>
      <c r="B25" s="17" t="str">
        <f xml:space="preserve"> CONCATENATE(Setup!$B$8, ", ", LEFT(Setup!$C$8,2))</f>
        <v>&lt;TM2&gt;, 2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78"/>
      <c r="B26" s="17" t="str">
        <f xml:space="preserve"> CONCATENATE(Setup!$B$9, ", ", LEFT(Setup!$C$9,2))</f>
        <v>&lt;TM3&gt;, 3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78"/>
      <c r="B27" s="17" t="str">
        <f xml:space="preserve"> CONCATENATE(Setup!$B$10, ", ", LEFT(Setup!$C$10,2))</f>
        <v>&lt;TM4&gt;, 4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78"/>
      <c r="B28" s="18" t="s">
        <v>35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77" t="s">
        <v>6</v>
      </c>
      <c r="B30" s="17" t="str">
        <f xml:space="preserve"> CONCATENATE(Setup!$B$7, ", ", LEFT(Setup!$C$7,2))</f>
        <v>&lt;TM1&gt;, 1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77"/>
      <c r="B31" s="17" t="str">
        <f xml:space="preserve"> CONCATENATE(Setup!$B$8, ", ", LEFT(Setup!$C$8,2))</f>
        <v>&lt;TM2&gt;, 2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77"/>
      <c r="B32" s="17" t="str">
        <f xml:space="preserve"> CONCATENATE(Setup!$B$9, ", ", LEFT(Setup!$C$9,2))</f>
        <v>&lt;TM3&gt;, 3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77"/>
      <c r="B33" s="17" t="str">
        <f xml:space="preserve"> CONCATENATE(Setup!$B$10, ", ", LEFT(Setup!$C$10,2))</f>
        <v>&lt;TM4&gt;, 4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77"/>
      <c r="B34" s="18" t="s">
        <v>35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36</v>
      </c>
      <c r="C36" s="24">
        <v>1</v>
      </c>
      <c r="D36" s="24">
        <v>2</v>
      </c>
      <c r="E36" s="24" t="s">
        <v>40</v>
      </c>
    </row>
    <row r="37" spans="1:16" ht="15.75" thickBot="1" x14ac:dyDescent="0.3">
      <c r="A37" s="77" t="s">
        <v>12</v>
      </c>
      <c r="B37" s="17" t="str">
        <f xml:space="preserve"> CONCATENATE(Setup!$B$7, ", ", LEFT(Setup!$C$7,2))</f>
        <v>&lt;TM1&gt;, 1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77"/>
      <c r="B38" s="17" t="str">
        <f xml:space="preserve"> CONCATENATE(Setup!$B$8, ", ", LEFT(Setup!$C$8,2))</f>
        <v>&lt;TM2&gt;, 2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77"/>
      <c r="B39" s="17" t="str">
        <f xml:space="preserve"> CONCATENATE(Setup!$B$9, ", ", LEFT(Setup!$C$9,2))</f>
        <v>&lt;TM3&gt;, 3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77"/>
      <c r="B40" s="17" t="str">
        <f xml:space="preserve"> CONCATENATE(Setup!$B$10, ", ", LEFT(Setup!$C$10,2))</f>
        <v>&lt;TM4&gt;, 4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77"/>
      <c r="B41" s="18" t="s">
        <v>35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7" t="s">
        <v>13</v>
      </c>
      <c r="B43" s="17" t="str">
        <f xml:space="preserve"> CONCATENATE(Setup!$B$7, ", ", LEFT(Setup!$C$7,2))</f>
        <v>&lt;TM1&gt;, 1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77"/>
      <c r="B44" s="17" t="str">
        <f xml:space="preserve"> CONCATENATE(Setup!$B$8, ", ", LEFT(Setup!$C$8,2))</f>
        <v>&lt;TM2&gt;, 2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77"/>
      <c r="B45" s="17" t="str">
        <f xml:space="preserve"> CONCATENATE(Setup!$B$9, ", ", LEFT(Setup!$C$9,2))</f>
        <v>&lt;TM3&gt;, 3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77"/>
      <c r="B46" s="17" t="str">
        <f xml:space="preserve"> CONCATENATE(Setup!$B$10, ", ", LEFT(Setup!$C$10,2))</f>
        <v>&lt;TM4&gt;, 4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77"/>
      <c r="B47" s="18" t="s">
        <v>35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B3" sqref="B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34</v>
      </c>
    </row>
    <row r="2" spans="1:16" ht="18.75" x14ac:dyDescent="0.3">
      <c r="B2" s="26" t="str">
        <f>SheetName</f>
        <v>Sprint 3</v>
      </c>
      <c r="C2" s="27" t="s">
        <v>43</v>
      </c>
    </row>
    <row r="3" spans="1:16" x14ac:dyDescent="0.25">
      <c r="B3" s="31" t="s">
        <v>41</v>
      </c>
      <c r="C3" s="79" t="s">
        <v>37</v>
      </c>
      <c r="D3" s="79"/>
      <c r="E3" s="79"/>
      <c r="F3" s="79"/>
      <c r="G3" s="79"/>
      <c r="H3" s="79"/>
      <c r="I3" s="79"/>
      <c r="J3" s="80" t="s">
        <v>38</v>
      </c>
      <c r="K3" s="79"/>
      <c r="L3" s="79"/>
      <c r="M3" s="79"/>
      <c r="N3" s="79"/>
      <c r="O3" s="79"/>
      <c r="P3" s="81"/>
    </row>
    <row r="4" spans="1:16" x14ac:dyDescent="0.25">
      <c r="B4" s="5" t="s">
        <v>11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32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2" t="s">
        <v>45</v>
      </c>
      <c r="B6" s="17" t="str">
        <f xml:space="preserve"> CONCATENATE(Setup!$B$7, ", ", LEFT(Setup!$C$7,2))</f>
        <v>&lt;TM1&gt;, 1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2"/>
      <c r="B7" s="17" t="str">
        <f xml:space="preserve"> CONCATENATE(Setup!$B$8, ", ", LEFT(Setup!$C$8,2))</f>
        <v>&lt;TM2&gt;, 2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2"/>
      <c r="B8" s="17" t="str">
        <f xml:space="preserve"> CONCATENATE(Setup!$B$9, ", ", LEFT(Setup!$C$9,2))</f>
        <v>&lt;TM3&gt;, 3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2"/>
      <c r="B9" s="17" t="str">
        <f xml:space="preserve"> CONCATENATE(Setup!$B$10, ", ", LEFT(Setup!$C$10,2))</f>
        <v>&lt;TM4&gt;, 4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2"/>
      <c r="B10" s="18" t="s">
        <v>35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2" t="s">
        <v>46</v>
      </c>
      <c r="B12" s="17" t="str">
        <f xml:space="preserve"> CONCATENATE(Setup!$B$7, ", ", LEFT(Setup!$C$7,2))</f>
        <v>&lt;TM1&gt;, 1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2"/>
      <c r="B13" s="17" t="str">
        <f xml:space="preserve"> CONCATENATE(Setup!$B$8, ", ", LEFT(Setup!$C$8,2))</f>
        <v>&lt;TM2&gt;, 2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2"/>
      <c r="B14" s="17" t="str">
        <f xml:space="preserve"> CONCATENATE(Setup!$B$9, ", ", LEFT(Setup!$C$9,2))</f>
        <v>&lt;TM3&gt;, 3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2"/>
      <c r="B15" s="17" t="str">
        <f xml:space="preserve"> CONCATENATE(Setup!$B$10, ", ", LEFT(Setup!$C$10,2))</f>
        <v>&lt;TM4&gt;, 4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2"/>
      <c r="B16" s="18" t="s">
        <v>35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78" t="s">
        <v>48</v>
      </c>
      <c r="B18" s="17" t="str">
        <f xml:space="preserve"> CONCATENATE(Setup!$B$7, ", ", LEFT(Setup!$C$7,2))</f>
        <v>&lt;TM1&gt;, 1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78"/>
      <c r="B19" s="17" t="str">
        <f xml:space="preserve"> CONCATENATE(Setup!$B$8, ", ", LEFT(Setup!$C$8,2))</f>
        <v>&lt;TM2&gt;, 2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78"/>
      <c r="B20" s="17" t="str">
        <f xml:space="preserve"> CONCATENATE(Setup!$B$9, ", ", LEFT(Setup!$C$9,2))</f>
        <v>&lt;TM3&gt;, 3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78"/>
      <c r="B21" s="17" t="str">
        <f xml:space="preserve"> CONCATENATE(Setup!$B$10, ", ", LEFT(Setup!$C$10,2))</f>
        <v>&lt;TM4&gt;, 4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78"/>
      <c r="B22" s="18" t="s">
        <v>35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78" t="s">
        <v>47</v>
      </c>
      <c r="B24" s="17" t="str">
        <f xml:space="preserve"> CONCATENATE(Setup!$B$7, ", ", LEFT(Setup!$C$7,2))</f>
        <v>&lt;TM1&gt;, 1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78"/>
      <c r="B25" s="17" t="str">
        <f xml:space="preserve"> CONCATENATE(Setup!$B$8, ", ", LEFT(Setup!$C$8,2))</f>
        <v>&lt;TM2&gt;, 2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78"/>
      <c r="B26" s="17" t="str">
        <f xml:space="preserve"> CONCATENATE(Setup!$B$9, ", ", LEFT(Setup!$C$9,2))</f>
        <v>&lt;TM3&gt;, 3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78"/>
      <c r="B27" s="17" t="str">
        <f xml:space="preserve"> CONCATENATE(Setup!$B$10, ", ", LEFT(Setup!$C$10,2))</f>
        <v>&lt;TM4&gt;, 4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78"/>
      <c r="B28" s="18" t="s">
        <v>35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77" t="s">
        <v>6</v>
      </c>
      <c r="B30" s="17" t="str">
        <f xml:space="preserve"> CONCATENATE(Setup!$B$7, ", ", LEFT(Setup!$C$7,2))</f>
        <v>&lt;TM1&gt;, 1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77"/>
      <c r="B31" s="17" t="str">
        <f xml:space="preserve"> CONCATENATE(Setup!$B$8, ", ", LEFT(Setup!$C$8,2))</f>
        <v>&lt;TM2&gt;, 2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77"/>
      <c r="B32" s="17" t="str">
        <f xml:space="preserve"> CONCATENATE(Setup!$B$9, ", ", LEFT(Setup!$C$9,2))</f>
        <v>&lt;TM3&gt;, 3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77"/>
      <c r="B33" s="17" t="str">
        <f xml:space="preserve"> CONCATENATE(Setup!$B$10, ", ", LEFT(Setup!$C$10,2))</f>
        <v>&lt;TM4&gt;, 4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77"/>
      <c r="B34" s="18" t="s">
        <v>35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36</v>
      </c>
      <c r="C36" s="24">
        <v>1</v>
      </c>
      <c r="D36" s="24">
        <v>2</v>
      </c>
      <c r="E36" s="24" t="s">
        <v>40</v>
      </c>
    </row>
    <row r="37" spans="1:16" ht="15.75" thickBot="1" x14ac:dyDescent="0.3">
      <c r="A37" s="77" t="s">
        <v>12</v>
      </c>
      <c r="B37" s="17" t="str">
        <f xml:space="preserve"> CONCATENATE(Setup!$B$7, ", ", LEFT(Setup!$C$7,2))</f>
        <v>&lt;TM1&gt;, 1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77"/>
      <c r="B38" s="17" t="str">
        <f xml:space="preserve"> CONCATENATE(Setup!$B$8, ", ", LEFT(Setup!$C$8,2))</f>
        <v>&lt;TM2&gt;, 2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77"/>
      <c r="B39" s="17" t="str">
        <f xml:space="preserve"> CONCATENATE(Setup!$B$9, ", ", LEFT(Setup!$C$9,2))</f>
        <v>&lt;TM3&gt;, 3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77"/>
      <c r="B40" s="17" t="str">
        <f xml:space="preserve"> CONCATENATE(Setup!$B$10, ", ", LEFT(Setup!$C$10,2))</f>
        <v>&lt;TM4&gt;, 4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77"/>
      <c r="B41" s="18" t="s">
        <v>35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7" t="s">
        <v>13</v>
      </c>
      <c r="B43" s="17" t="str">
        <f xml:space="preserve"> CONCATENATE(Setup!$B$7, ", ", LEFT(Setup!$C$7,2))</f>
        <v>&lt;TM1&gt;, 1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77"/>
      <c r="B44" s="17" t="str">
        <f xml:space="preserve"> CONCATENATE(Setup!$B$8, ", ", LEFT(Setup!$C$8,2))</f>
        <v>&lt;TM2&gt;, 2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77"/>
      <c r="B45" s="17" t="str">
        <f xml:space="preserve"> CONCATENATE(Setup!$B$9, ", ", LEFT(Setup!$C$9,2))</f>
        <v>&lt;TM3&gt;, 3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77"/>
      <c r="B46" s="17" t="str">
        <f xml:space="preserve"> CONCATENATE(Setup!$B$10, ", ", LEFT(Setup!$C$10,2))</f>
        <v>&lt;TM4&gt;, 4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77"/>
      <c r="B47" s="18" t="s">
        <v>35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40" sqref="C40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34</v>
      </c>
    </row>
    <row r="2" spans="1:16" ht="18.75" x14ac:dyDescent="0.3">
      <c r="B2" s="26" t="str">
        <f>SheetName</f>
        <v>Sprint 4</v>
      </c>
      <c r="C2" s="27" t="s">
        <v>43</v>
      </c>
    </row>
    <row r="3" spans="1:16" x14ac:dyDescent="0.25">
      <c r="B3" s="31" t="s">
        <v>41</v>
      </c>
      <c r="C3" s="79" t="s">
        <v>37</v>
      </c>
      <c r="D3" s="79"/>
      <c r="E3" s="79"/>
      <c r="F3" s="79"/>
      <c r="G3" s="79"/>
      <c r="H3" s="79"/>
      <c r="I3" s="79"/>
      <c r="J3" s="80" t="s">
        <v>38</v>
      </c>
      <c r="K3" s="79"/>
      <c r="L3" s="79"/>
      <c r="M3" s="79"/>
      <c r="N3" s="79"/>
      <c r="O3" s="79"/>
      <c r="P3" s="81"/>
    </row>
    <row r="4" spans="1:16" x14ac:dyDescent="0.25">
      <c r="B4" s="5" t="s">
        <v>11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32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2" t="s">
        <v>45</v>
      </c>
      <c r="B6" s="17" t="str">
        <f xml:space="preserve"> CONCATENATE(Setup!$B$7, ", ", LEFT(Setup!$C$7,2))</f>
        <v>&lt;TM1&gt;, 1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2"/>
      <c r="B7" s="17" t="str">
        <f xml:space="preserve"> CONCATENATE(Setup!$B$8, ", ", LEFT(Setup!$C$8,2))</f>
        <v>&lt;TM2&gt;, 2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2"/>
      <c r="B8" s="17" t="str">
        <f xml:space="preserve"> CONCATENATE(Setup!$B$9, ", ", LEFT(Setup!$C$9,2))</f>
        <v>&lt;TM3&gt;, 3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2"/>
      <c r="B9" s="17" t="str">
        <f xml:space="preserve"> CONCATENATE(Setup!$B$10, ", ", LEFT(Setup!$C$10,2))</f>
        <v>&lt;TM4&gt;, 4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2"/>
      <c r="B10" s="18" t="s">
        <v>35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2" t="s">
        <v>46</v>
      </c>
      <c r="B12" s="17" t="str">
        <f xml:space="preserve"> CONCATENATE(Setup!$B$7, ", ", LEFT(Setup!$C$7,2))</f>
        <v>&lt;TM1&gt;, 1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2"/>
      <c r="B13" s="17" t="str">
        <f xml:space="preserve"> CONCATENATE(Setup!$B$8, ", ", LEFT(Setup!$C$8,2))</f>
        <v>&lt;TM2&gt;, 2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2"/>
      <c r="B14" s="17" t="str">
        <f xml:space="preserve"> CONCATENATE(Setup!$B$9, ", ", LEFT(Setup!$C$9,2))</f>
        <v>&lt;TM3&gt;, 3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2"/>
      <c r="B15" s="17" t="str">
        <f xml:space="preserve"> CONCATENATE(Setup!$B$10, ", ", LEFT(Setup!$C$10,2))</f>
        <v>&lt;TM4&gt;, 4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2"/>
      <c r="B16" s="18" t="s">
        <v>35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78" t="s">
        <v>48</v>
      </c>
      <c r="B18" s="17" t="str">
        <f xml:space="preserve"> CONCATENATE(Setup!$B$7, ", ", LEFT(Setup!$C$7,2))</f>
        <v>&lt;TM1&gt;, 1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78"/>
      <c r="B19" s="17" t="str">
        <f xml:space="preserve"> CONCATENATE(Setup!$B$8, ", ", LEFT(Setup!$C$8,2))</f>
        <v>&lt;TM2&gt;, 2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78"/>
      <c r="B20" s="17" t="str">
        <f xml:space="preserve"> CONCATENATE(Setup!$B$9, ", ", LEFT(Setup!$C$9,2))</f>
        <v>&lt;TM3&gt;, 3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78"/>
      <c r="B21" s="17" t="str">
        <f xml:space="preserve"> CONCATENATE(Setup!$B$10, ", ", LEFT(Setup!$C$10,2))</f>
        <v>&lt;TM4&gt;, 4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78"/>
      <c r="B22" s="18" t="s">
        <v>35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78" t="s">
        <v>47</v>
      </c>
      <c r="B24" s="17" t="str">
        <f xml:space="preserve"> CONCATENATE(Setup!$B$7, ", ", LEFT(Setup!$C$7,2))</f>
        <v>&lt;TM1&gt;, 1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78"/>
      <c r="B25" s="17" t="str">
        <f xml:space="preserve"> CONCATENATE(Setup!$B$8, ", ", LEFT(Setup!$C$8,2))</f>
        <v>&lt;TM2&gt;, 2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78"/>
      <c r="B26" s="17" t="str">
        <f xml:space="preserve"> CONCATENATE(Setup!$B$9, ", ", LEFT(Setup!$C$9,2))</f>
        <v>&lt;TM3&gt;, 3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78"/>
      <c r="B27" s="17" t="str">
        <f xml:space="preserve"> CONCATENATE(Setup!$B$10, ", ", LEFT(Setup!$C$10,2))</f>
        <v>&lt;TM4&gt;, 4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78"/>
      <c r="B28" s="18" t="s">
        <v>35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77" t="s">
        <v>6</v>
      </c>
      <c r="B30" s="17" t="str">
        <f xml:space="preserve"> CONCATENATE(Setup!$B$7, ", ", LEFT(Setup!$C$7,2))</f>
        <v>&lt;TM1&gt;, 1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77"/>
      <c r="B31" s="17" t="str">
        <f xml:space="preserve"> CONCATENATE(Setup!$B$8, ", ", LEFT(Setup!$C$8,2))</f>
        <v>&lt;TM2&gt;, 2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77"/>
      <c r="B32" s="17" t="str">
        <f xml:space="preserve"> CONCATENATE(Setup!$B$9, ", ", LEFT(Setup!$C$9,2))</f>
        <v>&lt;TM3&gt;, 3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77"/>
      <c r="B33" s="17" t="str">
        <f xml:space="preserve"> CONCATENATE(Setup!$B$10, ", ", LEFT(Setup!$C$10,2))</f>
        <v>&lt;TM4&gt;, 4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77"/>
      <c r="B34" s="18" t="s">
        <v>35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36</v>
      </c>
      <c r="C36" s="24">
        <v>1</v>
      </c>
      <c r="D36" s="24">
        <v>2</v>
      </c>
      <c r="E36" s="24" t="s">
        <v>40</v>
      </c>
    </row>
    <row r="37" spans="1:16" ht="15.75" thickBot="1" x14ac:dyDescent="0.3">
      <c r="A37" s="77" t="s">
        <v>12</v>
      </c>
      <c r="B37" s="17" t="str">
        <f xml:space="preserve"> CONCATENATE(Setup!$B$7, ", ", LEFT(Setup!$C$7,2))</f>
        <v>&lt;TM1&gt;, 1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77"/>
      <c r="B38" s="17" t="str">
        <f xml:space="preserve"> CONCATENATE(Setup!$B$8, ", ", LEFT(Setup!$C$8,2))</f>
        <v>&lt;TM2&gt;, 2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77"/>
      <c r="B39" s="17" t="str">
        <f xml:space="preserve"> CONCATENATE(Setup!$B$9, ", ", LEFT(Setup!$C$9,2))</f>
        <v>&lt;TM3&gt;, 3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77"/>
      <c r="B40" s="17" t="str">
        <f xml:space="preserve"> CONCATENATE(Setup!$B$10, ", ", LEFT(Setup!$C$10,2))</f>
        <v>&lt;TM4&gt;, 4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77"/>
      <c r="B41" s="18" t="s">
        <v>35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7" t="s">
        <v>13</v>
      </c>
      <c r="B43" s="17" t="str">
        <f xml:space="preserve"> CONCATENATE(Setup!$B$7, ", ", LEFT(Setup!$C$7,2))</f>
        <v>&lt;TM1&gt;, 1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77"/>
      <c r="B44" s="17" t="str">
        <f xml:space="preserve"> CONCATENATE(Setup!$B$8, ", ", LEFT(Setup!$C$8,2))</f>
        <v>&lt;TM2&gt;, 2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77"/>
      <c r="B45" s="17" t="str">
        <f xml:space="preserve"> CONCATENATE(Setup!$B$9, ", ", LEFT(Setup!$C$9,2))</f>
        <v>&lt;TM3&gt;, 3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77"/>
      <c r="B46" s="17" t="str">
        <f xml:space="preserve"> CONCATENATE(Setup!$B$10, ", ", LEFT(Setup!$C$10,2))</f>
        <v>&lt;TM4&gt;, 4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77"/>
      <c r="B47" s="18" t="s">
        <v>35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B3" sqref="B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34</v>
      </c>
    </row>
    <row r="2" spans="1:16" ht="18.75" x14ac:dyDescent="0.3">
      <c r="B2" s="26" t="str">
        <f>SheetName</f>
        <v>Sprint 5</v>
      </c>
      <c r="C2" s="27" t="s">
        <v>43</v>
      </c>
    </row>
    <row r="3" spans="1:16" x14ac:dyDescent="0.25">
      <c r="B3" s="31" t="s">
        <v>41</v>
      </c>
      <c r="C3" s="79" t="s">
        <v>37</v>
      </c>
      <c r="D3" s="79"/>
      <c r="E3" s="79"/>
      <c r="F3" s="79"/>
      <c r="G3" s="79"/>
      <c r="H3" s="79"/>
      <c r="I3" s="79"/>
      <c r="J3" s="80" t="s">
        <v>38</v>
      </c>
      <c r="K3" s="79"/>
      <c r="L3" s="79"/>
      <c r="M3" s="79"/>
      <c r="N3" s="79"/>
      <c r="O3" s="79"/>
      <c r="P3" s="81"/>
    </row>
    <row r="4" spans="1:16" x14ac:dyDescent="0.25">
      <c r="B4" s="5" t="s">
        <v>11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32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2" t="s">
        <v>45</v>
      </c>
      <c r="B6" s="17" t="str">
        <f xml:space="preserve"> CONCATENATE(Setup!$B$7, ", ", LEFT(Setup!$C$7,2))</f>
        <v>&lt;TM1&gt;, 1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2"/>
      <c r="B7" s="17" t="str">
        <f xml:space="preserve"> CONCATENATE(Setup!$B$8, ", ", LEFT(Setup!$C$8,2))</f>
        <v>&lt;TM2&gt;, 2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2"/>
      <c r="B8" s="17" t="str">
        <f xml:space="preserve"> CONCATENATE(Setup!$B$9, ", ", LEFT(Setup!$C$9,2))</f>
        <v>&lt;TM3&gt;, 3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2"/>
      <c r="B9" s="17" t="str">
        <f xml:space="preserve"> CONCATENATE(Setup!$B$10, ", ", LEFT(Setup!$C$10,2))</f>
        <v>&lt;TM4&gt;, 4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2"/>
      <c r="B10" s="18" t="s">
        <v>35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2" t="s">
        <v>46</v>
      </c>
      <c r="B12" s="17" t="str">
        <f xml:space="preserve"> CONCATENATE(Setup!$B$7, ", ", LEFT(Setup!$C$7,2))</f>
        <v>&lt;TM1&gt;, 1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2"/>
      <c r="B13" s="17" t="str">
        <f xml:space="preserve"> CONCATENATE(Setup!$B$8, ", ", LEFT(Setup!$C$8,2))</f>
        <v>&lt;TM2&gt;, 2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2"/>
      <c r="B14" s="17" t="str">
        <f xml:space="preserve"> CONCATENATE(Setup!$B$9, ", ", LEFT(Setup!$C$9,2))</f>
        <v>&lt;TM3&gt;, 3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2"/>
      <c r="B15" s="17" t="str">
        <f xml:space="preserve"> CONCATENATE(Setup!$B$10, ", ", LEFT(Setup!$C$10,2))</f>
        <v>&lt;TM4&gt;, 4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2"/>
      <c r="B16" s="18" t="s">
        <v>35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78" t="s">
        <v>48</v>
      </c>
      <c r="B18" s="17" t="str">
        <f xml:space="preserve"> CONCATENATE(Setup!$B$7, ", ", LEFT(Setup!$C$7,2))</f>
        <v>&lt;TM1&gt;, 1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78"/>
      <c r="B19" s="17" t="str">
        <f xml:space="preserve"> CONCATENATE(Setup!$B$8, ", ", LEFT(Setup!$C$8,2))</f>
        <v>&lt;TM2&gt;, 2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78"/>
      <c r="B20" s="17" t="str">
        <f xml:space="preserve"> CONCATENATE(Setup!$B$9, ", ", LEFT(Setup!$C$9,2))</f>
        <v>&lt;TM3&gt;, 3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78"/>
      <c r="B21" s="17" t="str">
        <f xml:space="preserve"> CONCATENATE(Setup!$B$10, ", ", LEFT(Setup!$C$10,2))</f>
        <v>&lt;TM4&gt;, 4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78"/>
      <c r="B22" s="18" t="s">
        <v>35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78" t="s">
        <v>47</v>
      </c>
      <c r="B24" s="17" t="str">
        <f xml:space="preserve"> CONCATENATE(Setup!$B$7, ", ", LEFT(Setup!$C$7,2))</f>
        <v>&lt;TM1&gt;, 1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78"/>
      <c r="B25" s="17" t="str">
        <f xml:space="preserve"> CONCATENATE(Setup!$B$8, ", ", LEFT(Setup!$C$8,2))</f>
        <v>&lt;TM2&gt;, 2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78"/>
      <c r="B26" s="17" t="str">
        <f xml:space="preserve"> CONCATENATE(Setup!$B$9, ", ", LEFT(Setup!$C$9,2))</f>
        <v>&lt;TM3&gt;, 3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78"/>
      <c r="B27" s="17" t="str">
        <f xml:space="preserve"> CONCATENATE(Setup!$B$10, ", ", LEFT(Setup!$C$10,2))</f>
        <v>&lt;TM4&gt;, 4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78"/>
      <c r="B28" s="18" t="s">
        <v>35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77" t="s">
        <v>6</v>
      </c>
      <c r="B30" s="17" t="str">
        <f xml:space="preserve"> CONCATENATE(Setup!$B$7, ", ", LEFT(Setup!$C$7,2))</f>
        <v>&lt;TM1&gt;, 1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77"/>
      <c r="B31" s="17" t="str">
        <f xml:space="preserve"> CONCATENATE(Setup!$B$8, ", ", LEFT(Setup!$C$8,2))</f>
        <v>&lt;TM2&gt;, 2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77"/>
      <c r="B32" s="17" t="str">
        <f xml:space="preserve"> CONCATENATE(Setup!$B$9, ", ", LEFT(Setup!$C$9,2))</f>
        <v>&lt;TM3&gt;, 3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77"/>
      <c r="B33" s="17" t="str">
        <f xml:space="preserve"> CONCATENATE(Setup!$B$10, ", ", LEFT(Setup!$C$10,2))</f>
        <v>&lt;TM4&gt;, 4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77"/>
      <c r="B34" s="18" t="s">
        <v>35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36</v>
      </c>
      <c r="C36" s="24">
        <v>1</v>
      </c>
      <c r="D36" s="24">
        <v>2</v>
      </c>
      <c r="E36" s="24" t="s">
        <v>40</v>
      </c>
    </row>
    <row r="37" spans="1:16" ht="15.75" thickBot="1" x14ac:dyDescent="0.3">
      <c r="A37" s="77" t="s">
        <v>12</v>
      </c>
      <c r="B37" s="17" t="str">
        <f xml:space="preserve"> CONCATENATE(Setup!$B$7, ", ", LEFT(Setup!$C$7,2))</f>
        <v>&lt;TM1&gt;, 1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77"/>
      <c r="B38" s="17" t="str">
        <f xml:space="preserve"> CONCATENATE(Setup!$B$8, ", ", LEFT(Setup!$C$8,2))</f>
        <v>&lt;TM2&gt;, 2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77"/>
      <c r="B39" s="17" t="str">
        <f xml:space="preserve"> CONCATENATE(Setup!$B$9, ", ", LEFT(Setup!$C$9,2))</f>
        <v>&lt;TM3&gt;, 3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77"/>
      <c r="B40" s="17" t="str">
        <f xml:space="preserve"> CONCATENATE(Setup!$B$10, ", ", LEFT(Setup!$C$10,2))</f>
        <v>&lt;TM4&gt;, 4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77"/>
      <c r="B41" s="18" t="s">
        <v>35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7" t="s">
        <v>13</v>
      </c>
      <c r="B43" s="17" t="str">
        <f xml:space="preserve"> CONCATENATE(Setup!$B$7, ", ", LEFT(Setup!$C$7,2))</f>
        <v>&lt;TM1&gt;, 1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77"/>
      <c r="B44" s="17" t="str">
        <f xml:space="preserve"> CONCATENATE(Setup!$B$8, ", ", LEFT(Setup!$C$8,2))</f>
        <v>&lt;TM2&gt;, 2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77"/>
      <c r="B45" s="17" t="str">
        <f xml:space="preserve"> CONCATENATE(Setup!$B$9, ", ", LEFT(Setup!$C$9,2))</f>
        <v>&lt;TM3&gt;, 3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77"/>
      <c r="B46" s="17" t="str">
        <f xml:space="preserve"> CONCATENATE(Setup!$B$10, ", ", LEFT(Setup!$C$10,2))</f>
        <v>&lt;TM4&gt;, 4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77"/>
      <c r="B47" s="18" t="s">
        <v>35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B3" sqref="B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34</v>
      </c>
    </row>
    <row r="2" spans="1:16" ht="18.75" x14ac:dyDescent="0.3">
      <c r="B2" s="26" t="str">
        <f>SheetName</f>
        <v>Sprint 6</v>
      </c>
      <c r="C2" s="27" t="s">
        <v>43</v>
      </c>
    </row>
    <row r="3" spans="1:16" x14ac:dyDescent="0.25">
      <c r="B3" s="31" t="s">
        <v>41</v>
      </c>
      <c r="C3" s="79" t="s">
        <v>37</v>
      </c>
      <c r="D3" s="79"/>
      <c r="E3" s="79"/>
      <c r="F3" s="79"/>
      <c r="G3" s="79"/>
      <c r="H3" s="79"/>
      <c r="I3" s="79"/>
      <c r="J3" s="80" t="s">
        <v>38</v>
      </c>
      <c r="K3" s="79"/>
      <c r="L3" s="79"/>
      <c r="M3" s="79"/>
      <c r="N3" s="79"/>
      <c r="O3" s="79"/>
      <c r="P3" s="81"/>
    </row>
    <row r="4" spans="1:16" x14ac:dyDescent="0.25">
      <c r="B4" s="5" t="s">
        <v>11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32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2" t="s">
        <v>45</v>
      </c>
      <c r="B6" s="17" t="str">
        <f xml:space="preserve"> CONCATENATE(Setup!$B$7, ", ", LEFT(Setup!$C$7,2))</f>
        <v>&lt;TM1&gt;, 1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2"/>
      <c r="B7" s="17" t="str">
        <f xml:space="preserve"> CONCATENATE(Setup!$B$8, ", ", LEFT(Setup!$C$8,2))</f>
        <v>&lt;TM2&gt;, 2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2"/>
      <c r="B8" s="17" t="str">
        <f xml:space="preserve"> CONCATENATE(Setup!$B$9, ", ", LEFT(Setup!$C$9,2))</f>
        <v>&lt;TM3&gt;, 3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2"/>
      <c r="B9" s="17" t="str">
        <f xml:space="preserve"> CONCATENATE(Setup!$B$10, ", ", LEFT(Setup!$C$10,2))</f>
        <v>&lt;TM4&gt;, 4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2"/>
      <c r="B10" s="18" t="s">
        <v>35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2" t="s">
        <v>46</v>
      </c>
      <c r="B12" s="17" t="str">
        <f xml:space="preserve"> CONCATENATE(Setup!$B$7, ", ", LEFT(Setup!$C$7,2))</f>
        <v>&lt;TM1&gt;, 1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2"/>
      <c r="B13" s="17" t="str">
        <f xml:space="preserve"> CONCATENATE(Setup!$B$8, ", ", LEFT(Setup!$C$8,2))</f>
        <v>&lt;TM2&gt;, 2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2"/>
      <c r="B14" s="17" t="str">
        <f xml:space="preserve"> CONCATENATE(Setup!$B$9, ", ", LEFT(Setup!$C$9,2))</f>
        <v>&lt;TM3&gt;, 3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2"/>
      <c r="B15" s="17" t="str">
        <f xml:space="preserve"> CONCATENATE(Setup!$B$10, ", ", LEFT(Setup!$C$10,2))</f>
        <v>&lt;TM4&gt;, 4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2"/>
      <c r="B16" s="18" t="s">
        <v>35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78" t="s">
        <v>48</v>
      </c>
      <c r="B18" s="17" t="str">
        <f xml:space="preserve"> CONCATENATE(Setup!$B$7, ", ", LEFT(Setup!$C$7,2))</f>
        <v>&lt;TM1&gt;, 1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78"/>
      <c r="B19" s="17" t="str">
        <f xml:space="preserve"> CONCATENATE(Setup!$B$8, ", ", LEFT(Setup!$C$8,2))</f>
        <v>&lt;TM2&gt;, 2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78"/>
      <c r="B20" s="17" t="str">
        <f xml:space="preserve"> CONCATENATE(Setup!$B$9, ", ", LEFT(Setup!$C$9,2))</f>
        <v>&lt;TM3&gt;, 3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78"/>
      <c r="B21" s="17" t="str">
        <f xml:space="preserve"> CONCATENATE(Setup!$B$10, ", ", LEFT(Setup!$C$10,2))</f>
        <v>&lt;TM4&gt;, 4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78"/>
      <c r="B22" s="18" t="s">
        <v>35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78" t="s">
        <v>47</v>
      </c>
      <c r="B24" s="17" t="str">
        <f xml:space="preserve"> CONCATENATE(Setup!$B$7, ", ", LEFT(Setup!$C$7,2))</f>
        <v>&lt;TM1&gt;, 1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78"/>
      <c r="B25" s="17" t="str">
        <f xml:space="preserve"> CONCATENATE(Setup!$B$8, ", ", LEFT(Setup!$C$8,2))</f>
        <v>&lt;TM2&gt;, 2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78"/>
      <c r="B26" s="17" t="str">
        <f xml:space="preserve"> CONCATENATE(Setup!$B$9, ", ", LEFT(Setup!$C$9,2))</f>
        <v>&lt;TM3&gt;, 3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78"/>
      <c r="B27" s="17" t="str">
        <f xml:space="preserve"> CONCATENATE(Setup!$B$10, ", ", LEFT(Setup!$C$10,2))</f>
        <v>&lt;TM4&gt;, 4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78"/>
      <c r="B28" s="18" t="s">
        <v>35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77" t="s">
        <v>6</v>
      </c>
      <c r="B30" s="17" t="str">
        <f xml:space="preserve"> CONCATENATE(Setup!$B$7, ", ", LEFT(Setup!$C$7,2))</f>
        <v>&lt;TM1&gt;, 1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77"/>
      <c r="B31" s="17" t="str">
        <f xml:space="preserve"> CONCATENATE(Setup!$B$8, ", ", LEFT(Setup!$C$8,2))</f>
        <v>&lt;TM2&gt;, 2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77"/>
      <c r="B32" s="17" t="str">
        <f xml:space="preserve"> CONCATENATE(Setup!$B$9, ", ", LEFT(Setup!$C$9,2))</f>
        <v>&lt;TM3&gt;, 3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77"/>
      <c r="B33" s="17" t="str">
        <f xml:space="preserve"> CONCATENATE(Setup!$B$10, ", ", LEFT(Setup!$C$10,2))</f>
        <v>&lt;TM4&gt;, 4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77"/>
      <c r="B34" s="18" t="s">
        <v>35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36</v>
      </c>
      <c r="C36" s="24">
        <v>1</v>
      </c>
      <c r="D36" s="24">
        <v>2</v>
      </c>
      <c r="E36" s="24" t="s">
        <v>40</v>
      </c>
    </row>
    <row r="37" spans="1:16" ht="15.75" thickBot="1" x14ac:dyDescent="0.3">
      <c r="A37" s="77" t="s">
        <v>12</v>
      </c>
      <c r="B37" s="17" t="str">
        <f xml:space="preserve"> CONCATENATE(Setup!$B$7, ", ", LEFT(Setup!$C$7,2))</f>
        <v>&lt;TM1&gt;, 1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77"/>
      <c r="B38" s="17" t="str">
        <f xml:space="preserve"> CONCATENATE(Setup!$B$8, ", ", LEFT(Setup!$C$8,2))</f>
        <v>&lt;TM2&gt;, 2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77"/>
      <c r="B39" s="17" t="str">
        <f xml:space="preserve"> CONCATENATE(Setup!$B$9, ", ", LEFT(Setup!$C$9,2))</f>
        <v>&lt;TM3&gt;, 3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77"/>
      <c r="B40" s="17" t="str">
        <f xml:space="preserve"> CONCATENATE(Setup!$B$10, ", ", LEFT(Setup!$C$10,2))</f>
        <v>&lt;TM4&gt;, 4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77"/>
      <c r="B41" s="18" t="s">
        <v>35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7" t="s">
        <v>13</v>
      </c>
      <c r="B43" s="17" t="str">
        <f xml:space="preserve"> CONCATENATE(Setup!$B$7, ", ", LEFT(Setup!$C$7,2))</f>
        <v>&lt;TM1&gt;, 1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77"/>
      <c r="B44" s="17" t="str">
        <f xml:space="preserve"> CONCATENATE(Setup!$B$8, ", ", LEFT(Setup!$C$8,2))</f>
        <v>&lt;TM2&gt;, 2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77"/>
      <c r="B45" s="17" t="str">
        <f xml:space="preserve"> CONCATENATE(Setup!$B$9, ", ", LEFT(Setup!$C$9,2))</f>
        <v>&lt;TM3&gt;, 3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77"/>
      <c r="B46" s="17" t="str">
        <f xml:space="preserve"> CONCATENATE(Setup!$B$10, ", ", LEFT(Setup!$C$10,2))</f>
        <v>&lt;TM4&gt;, 4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77"/>
      <c r="B47" s="18" t="s">
        <v>35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B3" sqref="B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34</v>
      </c>
    </row>
    <row r="2" spans="1:16" ht="18.75" x14ac:dyDescent="0.3">
      <c r="B2" s="26" t="str">
        <f>SheetName</f>
        <v>Sprint 7</v>
      </c>
      <c r="C2" s="27" t="s">
        <v>43</v>
      </c>
    </row>
    <row r="3" spans="1:16" x14ac:dyDescent="0.25">
      <c r="B3" s="31" t="s">
        <v>41</v>
      </c>
      <c r="C3" s="79" t="s">
        <v>37</v>
      </c>
      <c r="D3" s="79"/>
      <c r="E3" s="79"/>
      <c r="F3" s="79"/>
      <c r="G3" s="79"/>
      <c r="H3" s="79"/>
      <c r="I3" s="79"/>
      <c r="J3" s="80" t="s">
        <v>38</v>
      </c>
      <c r="K3" s="79"/>
      <c r="L3" s="79"/>
      <c r="M3" s="79"/>
      <c r="N3" s="79"/>
      <c r="O3" s="79"/>
      <c r="P3" s="81"/>
    </row>
    <row r="4" spans="1:16" x14ac:dyDescent="0.25">
      <c r="B4" s="5" t="s">
        <v>11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32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2" t="s">
        <v>45</v>
      </c>
      <c r="B6" s="17" t="str">
        <f xml:space="preserve"> CONCATENATE(Setup!$B$7, ", ", LEFT(Setup!$C$7,2))</f>
        <v>&lt;TM1&gt;, 1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2"/>
      <c r="B7" s="17" t="str">
        <f xml:space="preserve"> CONCATENATE(Setup!$B$8, ", ", LEFT(Setup!$C$8,2))</f>
        <v>&lt;TM2&gt;, 2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2"/>
      <c r="B8" s="17" t="str">
        <f xml:space="preserve"> CONCATENATE(Setup!$B$9, ", ", LEFT(Setup!$C$9,2))</f>
        <v>&lt;TM3&gt;, 3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2"/>
      <c r="B9" s="17" t="str">
        <f xml:space="preserve"> CONCATENATE(Setup!$B$10, ", ", LEFT(Setup!$C$10,2))</f>
        <v>&lt;TM4&gt;, 4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2"/>
      <c r="B10" s="18" t="s">
        <v>35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2" t="s">
        <v>46</v>
      </c>
      <c r="B12" s="17" t="str">
        <f xml:space="preserve"> CONCATENATE(Setup!$B$7, ", ", LEFT(Setup!$C$7,2))</f>
        <v>&lt;TM1&gt;, 1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2"/>
      <c r="B13" s="17" t="str">
        <f xml:space="preserve"> CONCATENATE(Setup!$B$8, ", ", LEFT(Setup!$C$8,2))</f>
        <v>&lt;TM2&gt;, 2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2"/>
      <c r="B14" s="17" t="str">
        <f xml:space="preserve"> CONCATENATE(Setup!$B$9, ", ", LEFT(Setup!$C$9,2))</f>
        <v>&lt;TM3&gt;, 3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2"/>
      <c r="B15" s="17" t="str">
        <f xml:space="preserve"> CONCATENATE(Setup!$B$10, ", ", LEFT(Setup!$C$10,2))</f>
        <v>&lt;TM4&gt;, 4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2"/>
      <c r="B16" s="18" t="s">
        <v>35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78" t="s">
        <v>48</v>
      </c>
      <c r="B18" s="17" t="str">
        <f xml:space="preserve"> CONCATENATE(Setup!$B$7, ", ", LEFT(Setup!$C$7,2))</f>
        <v>&lt;TM1&gt;, 1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78"/>
      <c r="B19" s="17" t="str">
        <f xml:space="preserve"> CONCATENATE(Setup!$B$8, ", ", LEFT(Setup!$C$8,2))</f>
        <v>&lt;TM2&gt;, 2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78"/>
      <c r="B20" s="17" t="str">
        <f xml:space="preserve"> CONCATENATE(Setup!$B$9, ", ", LEFT(Setup!$C$9,2))</f>
        <v>&lt;TM3&gt;, 3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78"/>
      <c r="B21" s="17" t="str">
        <f xml:space="preserve"> CONCATENATE(Setup!$B$10, ", ", LEFT(Setup!$C$10,2))</f>
        <v>&lt;TM4&gt;, 4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78"/>
      <c r="B22" s="18" t="s">
        <v>35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78" t="s">
        <v>47</v>
      </c>
      <c r="B24" s="17" t="str">
        <f xml:space="preserve"> CONCATENATE(Setup!$B$7, ", ", LEFT(Setup!$C$7,2))</f>
        <v>&lt;TM1&gt;, 1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78"/>
      <c r="B25" s="17" t="str">
        <f xml:space="preserve"> CONCATENATE(Setup!$B$8, ", ", LEFT(Setup!$C$8,2))</f>
        <v>&lt;TM2&gt;, 2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78"/>
      <c r="B26" s="17" t="str">
        <f xml:space="preserve"> CONCATENATE(Setup!$B$9, ", ", LEFT(Setup!$C$9,2))</f>
        <v>&lt;TM3&gt;, 3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78"/>
      <c r="B27" s="17" t="str">
        <f xml:space="preserve"> CONCATENATE(Setup!$B$10, ", ", LEFT(Setup!$C$10,2))</f>
        <v>&lt;TM4&gt;, 4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78"/>
      <c r="B28" s="18" t="s">
        <v>35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77" t="s">
        <v>6</v>
      </c>
      <c r="B30" s="17" t="str">
        <f xml:space="preserve"> CONCATENATE(Setup!$B$7, ", ", LEFT(Setup!$C$7,2))</f>
        <v>&lt;TM1&gt;, 1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77"/>
      <c r="B31" s="17" t="str">
        <f xml:space="preserve"> CONCATENATE(Setup!$B$8, ", ", LEFT(Setup!$C$8,2))</f>
        <v>&lt;TM2&gt;, 2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77"/>
      <c r="B32" s="17" t="str">
        <f xml:space="preserve"> CONCATENATE(Setup!$B$9, ", ", LEFT(Setup!$C$9,2))</f>
        <v>&lt;TM3&gt;, 3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77"/>
      <c r="B33" s="17" t="str">
        <f xml:space="preserve"> CONCATENATE(Setup!$B$10, ", ", LEFT(Setup!$C$10,2))</f>
        <v>&lt;TM4&gt;, 4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77"/>
      <c r="B34" s="18" t="s">
        <v>35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36</v>
      </c>
      <c r="C36" s="24">
        <v>1</v>
      </c>
      <c r="D36" s="24">
        <v>2</v>
      </c>
      <c r="E36" s="24" t="s">
        <v>40</v>
      </c>
    </row>
    <row r="37" spans="1:16" ht="15.75" thickBot="1" x14ac:dyDescent="0.3">
      <c r="A37" s="77" t="s">
        <v>12</v>
      </c>
      <c r="B37" s="17" t="str">
        <f xml:space="preserve"> CONCATENATE(Setup!$B$7, ", ", LEFT(Setup!$C$7,2))</f>
        <v>&lt;TM1&gt;, 1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77"/>
      <c r="B38" s="17" t="str">
        <f xml:space="preserve"> CONCATENATE(Setup!$B$8, ", ", LEFT(Setup!$C$8,2))</f>
        <v>&lt;TM2&gt;, 2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77"/>
      <c r="B39" s="17" t="str">
        <f xml:space="preserve"> CONCATENATE(Setup!$B$9, ", ", LEFT(Setup!$C$9,2))</f>
        <v>&lt;TM3&gt;, 3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77"/>
      <c r="B40" s="17" t="str">
        <f xml:space="preserve"> CONCATENATE(Setup!$B$10, ", ", LEFT(Setup!$C$10,2))</f>
        <v>&lt;TM4&gt;, 4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77"/>
      <c r="B41" s="18" t="s">
        <v>35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7" t="s">
        <v>13</v>
      </c>
      <c r="B43" s="17" t="str">
        <f xml:space="preserve"> CONCATENATE(Setup!$B$7, ", ", LEFT(Setup!$C$7,2))</f>
        <v>&lt;TM1&gt;, 1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77"/>
      <c r="B44" s="17" t="str">
        <f xml:space="preserve"> CONCATENATE(Setup!$B$8, ", ", LEFT(Setup!$C$8,2))</f>
        <v>&lt;TM2&gt;, 2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77"/>
      <c r="B45" s="17" t="str">
        <f xml:space="preserve"> CONCATENATE(Setup!$B$9, ", ", LEFT(Setup!$C$9,2))</f>
        <v>&lt;TM3&gt;, 3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77"/>
      <c r="B46" s="17" t="str">
        <f xml:space="preserve"> CONCATENATE(Setup!$B$10, ", ", LEFT(Setup!$C$10,2))</f>
        <v>&lt;TM4&gt;, 4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77"/>
      <c r="B47" s="18" t="s">
        <v>35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B3" sqref="B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34</v>
      </c>
    </row>
    <row r="2" spans="1:16" ht="18.75" x14ac:dyDescent="0.3">
      <c r="B2" s="26" t="str">
        <f>SheetName</f>
        <v>Sprint 8</v>
      </c>
      <c r="C2" s="27" t="s">
        <v>43</v>
      </c>
    </row>
    <row r="3" spans="1:16" x14ac:dyDescent="0.25">
      <c r="B3" s="31" t="s">
        <v>41</v>
      </c>
      <c r="C3" s="79" t="s">
        <v>37</v>
      </c>
      <c r="D3" s="79"/>
      <c r="E3" s="79"/>
      <c r="F3" s="79"/>
      <c r="G3" s="79"/>
      <c r="H3" s="79"/>
      <c r="I3" s="79"/>
      <c r="J3" s="80" t="s">
        <v>38</v>
      </c>
      <c r="K3" s="79"/>
      <c r="L3" s="79"/>
      <c r="M3" s="79"/>
      <c r="N3" s="79"/>
      <c r="O3" s="79"/>
      <c r="P3" s="81"/>
    </row>
    <row r="4" spans="1:16" x14ac:dyDescent="0.25">
      <c r="B4" s="5" t="s">
        <v>11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32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2" t="s">
        <v>45</v>
      </c>
      <c r="B6" s="17" t="str">
        <f xml:space="preserve"> CONCATENATE(Setup!$B$7, ", ", LEFT(Setup!$C$7,2))</f>
        <v>&lt;TM1&gt;, 1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2"/>
      <c r="B7" s="17" t="str">
        <f xml:space="preserve"> CONCATENATE(Setup!$B$8, ", ", LEFT(Setup!$C$8,2))</f>
        <v>&lt;TM2&gt;, 2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2"/>
      <c r="B8" s="17" t="str">
        <f xml:space="preserve"> CONCATENATE(Setup!$B$9, ", ", LEFT(Setup!$C$9,2))</f>
        <v>&lt;TM3&gt;, 3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2"/>
      <c r="B9" s="17" t="str">
        <f xml:space="preserve"> CONCATENATE(Setup!$B$10, ", ", LEFT(Setup!$C$10,2))</f>
        <v>&lt;TM4&gt;, 4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2"/>
      <c r="B10" s="18" t="s">
        <v>35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2" t="s">
        <v>46</v>
      </c>
      <c r="B12" s="17" t="str">
        <f xml:space="preserve"> CONCATENATE(Setup!$B$7, ", ", LEFT(Setup!$C$7,2))</f>
        <v>&lt;TM1&gt;, 1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2"/>
      <c r="B13" s="17" t="str">
        <f xml:space="preserve"> CONCATENATE(Setup!$B$8, ", ", LEFT(Setup!$C$8,2))</f>
        <v>&lt;TM2&gt;, 2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2"/>
      <c r="B14" s="17" t="str">
        <f xml:space="preserve"> CONCATENATE(Setup!$B$9, ", ", LEFT(Setup!$C$9,2))</f>
        <v>&lt;TM3&gt;, 3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2"/>
      <c r="B15" s="17" t="str">
        <f xml:space="preserve"> CONCATENATE(Setup!$B$10, ", ", LEFT(Setup!$C$10,2))</f>
        <v>&lt;TM4&gt;, 4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2"/>
      <c r="B16" s="18" t="s">
        <v>35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78" t="s">
        <v>48</v>
      </c>
      <c r="B18" s="17" t="str">
        <f xml:space="preserve"> CONCATENATE(Setup!$B$7, ", ", LEFT(Setup!$C$7,2))</f>
        <v>&lt;TM1&gt;, 1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78"/>
      <c r="B19" s="17" t="str">
        <f xml:space="preserve"> CONCATENATE(Setup!$B$8, ", ", LEFT(Setup!$C$8,2))</f>
        <v>&lt;TM2&gt;, 2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78"/>
      <c r="B20" s="17" t="str">
        <f xml:space="preserve"> CONCATENATE(Setup!$B$9, ", ", LEFT(Setup!$C$9,2))</f>
        <v>&lt;TM3&gt;, 3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78"/>
      <c r="B21" s="17" t="str">
        <f xml:space="preserve"> CONCATENATE(Setup!$B$10, ", ", LEFT(Setup!$C$10,2))</f>
        <v>&lt;TM4&gt;, 4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78"/>
      <c r="B22" s="18" t="s">
        <v>35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78" t="s">
        <v>47</v>
      </c>
      <c r="B24" s="17" t="str">
        <f xml:space="preserve"> CONCATENATE(Setup!$B$7, ", ", LEFT(Setup!$C$7,2))</f>
        <v>&lt;TM1&gt;, 1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78"/>
      <c r="B25" s="17" t="str">
        <f xml:space="preserve"> CONCATENATE(Setup!$B$8, ", ", LEFT(Setup!$C$8,2))</f>
        <v>&lt;TM2&gt;, 2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78"/>
      <c r="B26" s="17" t="str">
        <f xml:space="preserve"> CONCATENATE(Setup!$B$9, ", ", LEFT(Setup!$C$9,2))</f>
        <v>&lt;TM3&gt;, 3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78"/>
      <c r="B27" s="17" t="str">
        <f xml:space="preserve"> CONCATENATE(Setup!$B$10, ", ", LEFT(Setup!$C$10,2))</f>
        <v>&lt;TM4&gt;, 4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78"/>
      <c r="B28" s="18" t="s">
        <v>35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77" t="s">
        <v>6</v>
      </c>
      <c r="B30" s="17" t="str">
        <f xml:space="preserve"> CONCATENATE(Setup!$B$7, ", ", LEFT(Setup!$C$7,2))</f>
        <v>&lt;TM1&gt;, 1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77"/>
      <c r="B31" s="17" t="str">
        <f xml:space="preserve"> CONCATENATE(Setup!$B$8, ", ", LEFT(Setup!$C$8,2))</f>
        <v>&lt;TM2&gt;, 2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77"/>
      <c r="B32" s="17" t="str">
        <f xml:space="preserve"> CONCATENATE(Setup!$B$9, ", ", LEFT(Setup!$C$9,2))</f>
        <v>&lt;TM3&gt;, 3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77"/>
      <c r="B33" s="17" t="str">
        <f xml:space="preserve"> CONCATENATE(Setup!$B$10, ", ", LEFT(Setup!$C$10,2))</f>
        <v>&lt;TM4&gt;, 4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77"/>
      <c r="B34" s="18" t="s">
        <v>35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36</v>
      </c>
      <c r="C36" s="24">
        <v>1</v>
      </c>
      <c r="D36" s="24">
        <v>2</v>
      </c>
      <c r="E36" s="24" t="s">
        <v>40</v>
      </c>
    </row>
    <row r="37" spans="1:16" ht="15.75" thickBot="1" x14ac:dyDescent="0.3">
      <c r="A37" s="77" t="s">
        <v>12</v>
      </c>
      <c r="B37" s="17" t="str">
        <f xml:space="preserve"> CONCATENATE(Setup!$B$7, ", ", LEFT(Setup!$C$7,2))</f>
        <v>&lt;TM1&gt;, 1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77"/>
      <c r="B38" s="17" t="str">
        <f xml:space="preserve"> CONCATENATE(Setup!$B$8, ", ", LEFT(Setup!$C$8,2))</f>
        <v>&lt;TM2&gt;, 2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77"/>
      <c r="B39" s="17" t="str">
        <f xml:space="preserve"> CONCATENATE(Setup!$B$9, ", ", LEFT(Setup!$C$9,2))</f>
        <v>&lt;TM3&gt;, 3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77"/>
      <c r="B40" s="17" t="str">
        <f xml:space="preserve"> CONCATENATE(Setup!$B$10, ", ", LEFT(Setup!$C$10,2))</f>
        <v>&lt;TM4&gt;, 4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77"/>
      <c r="B41" s="18" t="s">
        <v>35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7" t="s">
        <v>13</v>
      </c>
      <c r="B43" s="17" t="str">
        <f xml:space="preserve"> CONCATENATE(Setup!$B$7, ", ", LEFT(Setup!$C$7,2))</f>
        <v>&lt;TM1&gt;, 1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77"/>
      <c r="B44" s="17" t="str">
        <f xml:space="preserve"> CONCATENATE(Setup!$B$8, ", ", LEFT(Setup!$C$8,2))</f>
        <v>&lt;TM2&gt;, 2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77"/>
      <c r="B45" s="17" t="str">
        <f xml:space="preserve"> CONCATENATE(Setup!$B$9, ", ", LEFT(Setup!$C$9,2))</f>
        <v>&lt;TM3&gt;, 3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77"/>
      <c r="B46" s="17" t="str">
        <f xml:space="preserve"> CONCATENATE(Setup!$B$10, ", ", LEFT(Setup!$C$10,2))</f>
        <v>&lt;TM4&gt;, 4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77"/>
      <c r="B47" s="18" t="s">
        <v>35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B3" sqref="B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34</v>
      </c>
    </row>
    <row r="2" spans="1:16" ht="18.75" x14ac:dyDescent="0.3">
      <c r="B2" s="26" t="str">
        <f>SheetName</f>
        <v>Sprint 9</v>
      </c>
      <c r="C2" s="27" t="s">
        <v>43</v>
      </c>
    </row>
    <row r="3" spans="1:16" x14ac:dyDescent="0.25">
      <c r="B3" s="31" t="s">
        <v>41</v>
      </c>
      <c r="C3" s="79" t="s">
        <v>37</v>
      </c>
      <c r="D3" s="79"/>
      <c r="E3" s="79"/>
      <c r="F3" s="79"/>
      <c r="G3" s="79"/>
      <c r="H3" s="79"/>
      <c r="I3" s="79"/>
      <c r="J3" s="80" t="s">
        <v>38</v>
      </c>
      <c r="K3" s="79"/>
      <c r="L3" s="79"/>
      <c r="M3" s="79"/>
      <c r="N3" s="79"/>
      <c r="O3" s="79"/>
      <c r="P3" s="81"/>
    </row>
    <row r="4" spans="1:16" x14ac:dyDescent="0.25">
      <c r="B4" s="5" t="s">
        <v>11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32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2" t="s">
        <v>45</v>
      </c>
      <c r="B6" s="17" t="str">
        <f xml:space="preserve"> CONCATENATE(Setup!$B$7, ", ", LEFT(Setup!$C$7,2))</f>
        <v>&lt;TM1&gt;, 1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2"/>
      <c r="B7" s="17" t="str">
        <f xml:space="preserve"> CONCATENATE(Setup!$B$8, ", ", LEFT(Setup!$C$8,2))</f>
        <v>&lt;TM2&gt;, 2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2"/>
      <c r="B8" s="17" t="str">
        <f xml:space="preserve"> CONCATENATE(Setup!$B$9, ", ", LEFT(Setup!$C$9,2))</f>
        <v>&lt;TM3&gt;, 3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2"/>
      <c r="B9" s="17" t="str">
        <f xml:space="preserve"> CONCATENATE(Setup!$B$10, ", ", LEFT(Setup!$C$10,2))</f>
        <v>&lt;TM4&gt;, 4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2"/>
      <c r="B10" s="18" t="s">
        <v>35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2" t="s">
        <v>46</v>
      </c>
      <c r="B12" s="17" t="str">
        <f xml:space="preserve"> CONCATENATE(Setup!$B$7, ", ", LEFT(Setup!$C$7,2))</f>
        <v>&lt;TM1&gt;, 1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2"/>
      <c r="B13" s="17" t="str">
        <f xml:space="preserve"> CONCATENATE(Setup!$B$8, ", ", LEFT(Setup!$C$8,2))</f>
        <v>&lt;TM2&gt;, 2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2"/>
      <c r="B14" s="17" t="str">
        <f xml:space="preserve"> CONCATENATE(Setup!$B$9, ", ", LEFT(Setup!$C$9,2))</f>
        <v>&lt;TM3&gt;, 3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2"/>
      <c r="B15" s="17" t="str">
        <f xml:space="preserve"> CONCATENATE(Setup!$B$10, ", ", LEFT(Setup!$C$10,2))</f>
        <v>&lt;TM4&gt;, 4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2"/>
      <c r="B16" s="18" t="s">
        <v>35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78" t="s">
        <v>48</v>
      </c>
      <c r="B18" s="17" t="str">
        <f xml:space="preserve"> CONCATENATE(Setup!$B$7, ", ", LEFT(Setup!$C$7,2))</f>
        <v>&lt;TM1&gt;, 1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78"/>
      <c r="B19" s="17" t="str">
        <f xml:space="preserve"> CONCATENATE(Setup!$B$8, ", ", LEFT(Setup!$C$8,2))</f>
        <v>&lt;TM2&gt;, 2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78"/>
      <c r="B20" s="17" t="str">
        <f xml:space="preserve"> CONCATENATE(Setup!$B$9, ", ", LEFT(Setup!$C$9,2))</f>
        <v>&lt;TM3&gt;, 3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78"/>
      <c r="B21" s="17" t="str">
        <f xml:space="preserve"> CONCATENATE(Setup!$B$10, ", ", LEFT(Setup!$C$10,2))</f>
        <v>&lt;TM4&gt;, 4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78"/>
      <c r="B22" s="18" t="s">
        <v>35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78" t="s">
        <v>47</v>
      </c>
      <c r="B24" s="17" t="str">
        <f xml:space="preserve"> CONCATENATE(Setup!$B$7, ", ", LEFT(Setup!$C$7,2))</f>
        <v>&lt;TM1&gt;, 1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78"/>
      <c r="B25" s="17" t="str">
        <f xml:space="preserve"> CONCATENATE(Setup!$B$8, ", ", LEFT(Setup!$C$8,2))</f>
        <v>&lt;TM2&gt;, 2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78"/>
      <c r="B26" s="17" t="str">
        <f xml:space="preserve"> CONCATENATE(Setup!$B$9, ", ", LEFT(Setup!$C$9,2))</f>
        <v>&lt;TM3&gt;, 3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78"/>
      <c r="B27" s="17" t="str">
        <f xml:space="preserve"> CONCATENATE(Setup!$B$10, ", ", LEFT(Setup!$C$10,2))</f>
        <v>&lt;TM4&gt;, 4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78"/>
      <c r="B28" s="18" t="s">
        <v>35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77" t="s">
        <v>6</v>
      </c>
      <c r="B30" s="17" t="str">
        <f xml:space="preserve"> CONCATENATE(Setup!$B$7, ", ", LEFT(Setup!$C$7,2))</f>
        <v>&lt;TM1&gt;, 1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77"/>
      <c r="B31" s="17" t="str">
        <f xml:space="preserve"> CONCATENATE(Setup!$B$8, ", ", LEFT(Setup!$C$8,2))</f>
        <v>&lt;TM2&gt;, 2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77"/>
      <c r="B32" s="17" t="str">
        <f xml:space="preserve"> CONCATENATE(Setup!$B$9, ", ", LEFT(Setup!$C$9,2))</f>
        <v>&lt;TM3&gt;, 3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77"/>
      <c r="B33" s="17" t="str">
        <f xml:space="preserve"> CONCATENATE(Setup!$B$10, ", ", LEFT(Setup!$C$10,2))</f>
        <v>&lt;TM4&gt;, 4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77"/>
      <c r="B34" s="18" t="s">
        <v>35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36</v>
      </c>
      <c r="C36" s="24">
        <v>1</v>
      </c>
      <c r="D36" s="24">
        <v>2</v>
      </c>
      <c r="E36" s="24" t="s">
        <v>40</v>
      </c>
    </row>
    <row r="37" spans="1:16" ht="15.75" thickBot="1" x14ac:dyDescent="0.3">
      <c r="A37" s="77" t="s">
        <v>12</v>
      </c>
      <c r="B37" s="17" t="str">
        <f xml:space="preserve"> CONCATENATE(Setup!$B$7, ", ", LEFT(Setup!$C$7,2))</f>
        <v>&lt;TM1&gt;, 1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77"/>
      <c r="B38" s="17" t="str">
        <f xml:space="preserve"> CONCATENATE(Setup!$B$8, ", ", LEFT(Setup!$C$8,2))</f>
        <v>&lt;TM2&gt;, 2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77"/>
      <c r="B39" s="17" t="str">
        <f xml:space="preserve"> CONCATENATE(Setup!$B$9, ", ", LEFT(Setup!$C$9,2))</f>
        <v>&lt;TM3&gt;, 3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77"/>
      <c r="B40" s="17" t="str">
        <f xml:space="preserve"> CONCATENATE(Setup!$B$10, ", ", LEFT(Setup!$C$10,2))</f>
        <v>&lt;TM4&gt;, 4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77"/>
      <c r="B41" s="18" t="s">
        <v>35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7" t="s">
        <v>13</v>
      </c>
      <c r="B43" s="17" t="str">
        <f xml:space="preserve"> CONCATENATE(Setup!$B$7, ", ", LEFT(Setup!$C$7,2))</f>
        <v>&lt;TM1&gt;, 1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77"/>
      <c r="B44" s="17" t="str">
        <f xml:space="preserve"> CONCATENATE(Setup!$B$8, ", ", LEFT(Setup!$C$8,2))</f>
        <v>&lt;TM2&gt;, 2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77"/>
      <c r="B45" s="17" t="str">
        <f xml:space="preserve"> CONCATENATE(Setup!$B$9, ", ", LEFT(Setup!$C$9,2))</f>
        <v>&lt;TM3&gt;, 3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77"/>
      <c r="B46" s="17" t="str">
        <f xml:space="preserve"> CONCATENATE(Setup!$B$10, ", ", LEFT(Setup!$C$10,2))</f>
        <v>&lt;TM4&gt;, 4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77"/>
      <c r="B47" s="18" t="s">
        <v>35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B3" sqref="B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34</v>
      </c>
    </row>
    <row r="2" spans="1:16" ht="18.75" x14ac:dyDescent="0.3">
      <c r="B2" s="26" t="str">
        <f>SheetName</f>
        <v>Sprint 10</v>
      </c>
      <c r="C2" s="27" t="s">
        <v>43</v>
      </c>
    </row>
    <row r="3" spans="1:16" x14ac:dyDescent="0.25">
      <c r="B3" s="31" t="s">
        <v>41</v>
      </c>
      <c r="C3" s="79" t="s">
        <v>37</v>
      </c>
      <c r="D3" s="79"/>
      <c r="E3" s="79"/>
      <c r="F3" s="79"/>
      <c r="G3" s="79"/>
      <c r="H3" s="79"/>
      <c r="I3" s="79"/>
      <c r="J3" s="80" t="s">
        <v>38</v>
      </c>
      <c r="K3" s="79"/>
      <c r="L3" s="79"/>
      <c r="M3" s="79"/>
      <c r="N3" s="79"/>
      <c r="O3" s="79"/>
      <c r="P3" s="81"/>
    </row>
    <row r="4" spans="1:16" x14ac:dyDescent="0.25">
      <c r="B4" s="5" t="s">
        <v>11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32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2" t="s">
        <v>45</v>
      </c>
      <c r="B6" s="17" t="str">
        <f xml:space="preserve"> CONCATENATE(Setup!$B$7, ", ", LEFT(Setup!$C$7,2))</f>
        <v>&lt;TM1&gt;, 1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2"/>
      <c r="B7" s="17" t="str">
        <f xml:space="preserve"> CONCATENATE(Setup!$B$8, ", ", LEFT(Setup!$C$8,2))</f>
        <v>&lt;TM2&gt;, 2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2"/>
      <c r="B8" s="17" t="str">
        <f xml:space="preserve"> CONCATENATE(Setup!$B$9, ", ", LEFT(Setup!$C$9,2))</f>
        <v>&lt;TM3&gt;, 3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2"/>
      <c r="B9" s="17" t="str">
        <f xml:space="preserve"> CONCATENATE(Setup!$B$10, ", ", LEFT(Setup!$C$10,2))</f>
        <v>&lt;TM4&gt;, 4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2"/>
      <c r="B10" s="18" t="s">
        <v>35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2" t="s">
        <v>46</v>
      </c>
      <c r="B12" s="17" t="str">
        <f xml:space="preserve"> CONCATENATE(Setup!$B$7, ", ", LEFT(Setup!$C$7,2))</f>
        <v>&lt;TM1&gt;, 1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2"/>
      <c r="B13" s="17" t="str">
        <f xml:space="preserve"> CONCATENATE(Setup!$B$8, ", ", LEFT(Setup!$C$8,2))</f>
        <v>&lt;TM2&gt;, 2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2"/>
      <c r="B14" s="17" t="str">
        <f xml:space="preserve"> CONCATENATE(Setup!$B$9, ", ", LEFT(Setup!$C$9,2))</f>
        <v>&lt;TM3&gt;, 3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2"/>
      <c r="B15" s="17" t="str">
        <f xml:space="preserve"> CONCATENATE(Setup!$B$10, ", ", LEFT(Setup!$C$10,2))</f>
        <v>&lt;TM4&gt;, 4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2"/>
      <c r="B16" s="18" t="s">
        <v>35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78" t="s">
        <v>48</v>
      </c>
      <c r="B18" s="17" t="str">
        <f xml:space="preserve"> CONCATENATE(Setup!$B$7, ", ", LEFT(Setup!$C$7,2))</f>
        <v>&lt;TM1&gt;, 1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78"/>
      <c r="B19" s="17" t="str">
        <f xml:space="preserve"> CONCATENATE(Setup!$B$8, ", ", LEFT(Setup!$C$8,2))</f>
        <v>&lt;TM2&gt;, 2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78"/>
      <c r="B20" s="17" t="str">
        <f xml:space="preserve"> CONCATENATE(Setup!$B$9, ", ", LEFT(Setup!$C$9,2))</f>
        <v>&lt;TM3&gt;, 3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78"/>
      <c r="B21" s="17" t="str">
        <f xml:space="preserve"> CONCATENATE(Setup!$B$10, ", ", LEFT(Setup!$C$10,2))</f>
        <v>&lt;TM4&gt;, 4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78"/>
      <c r="B22" s="18" t="s">
        <v>35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78" t="s">
        <v>47</v>
      </c>
      <c r="B24" s="17" t="str">
        <f xml:space="preserve"> CONCATENATE(Setup!$B$7, ", ", LEFT(Setup!$C$7,2))</f>
        <v>&lt;TM1&gt;, 1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78"/>
      <c r="B25" s="17" t="str">
        <f xml:space="preserve"> CONCATENATE(Setup!$B$8, ", ", LEFT(Setup!$C$8,2))</f>
        <v>&lt;TM2&gt;, 2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78"/>
      <c r="B26" s="17" t="str">
        <f xml:space="preserve"> CONCATENATE(Setup!$B$9, ", ", LEFT(Setup!$C$9,2))</f>
        <v>&lt;TM3&gt;, 3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78"/>
      <c r="B27" s="17" t="str">
        <f xml:space="preserve"> CONCATENATE(Setup!$B$10, ", ", LEFT(Setup!$C$10,2))</f>
        <v>&lt;TM4&gt;, 4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78"/>
      <c r="B28" s="18" t="s">
        <v>35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77" t="s">
        <v>6</v>
      </c>
      <c r="B30" s="17" t="str">
        <f xml:space="preserve"> CONCATENATE(Setup!$B$7, ", ", LEFT(Setup!$C$7,2))</f>
        <v>&lt;TM1&gt;, 1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77"/>
      <c r="B31" s="17" t="str">
        <f xml:space="preserve"> CONCATENATE(Setup!$B$8, ", ", LEFT(Setup!$C$8,2))</f>
        <v>&lt;TM2&gt;, 2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77"/>
      <c r="B32" s="17" t="str">
        <f xml:space="preserve"> CONCATENATE(Setup!$B$9, ", ", LEFT(Setup!$C$9,2))</f>
        <v>&lt;TM3&gt;, 3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77"/>
      <c r="B33" s="17" t="str">
        <f xml:space="preserve"> CONCATENATE(Setup!$B$10, ", ", LEFT(Setup!$C$10,2))</f>
        <v>&lt;TM4&gt;, 4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77"/>
      <c r="B34" s="18" t="s">
        <v>35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36</v>
      </c>
      <c r="C36" s="24">
        <v>1</v>
      </c>
      <c r="D36" s="24">
        <v>2</v>
      </c>
      <c r="E36" s="24" t="s">
        <v>40</v>
      </c>
    </row>
    <row r="37" spans="1:16" ht="15.75" thickBot="1" x14ac:dyDescent="0.3">
      <c r="A37" s="77" t="s">
        <v>12</v>
      </c>
      <c r="B37" s="17" t="str">
        <f xml:space="preserve"> CONCATENATE(Setup!$B$7, ", ", LEFT(Setup!$C$7,2))</f>
        <v>&lt;TM1&gt;, 1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77"/>
      <c r="B38" s="17" t="str">
        <f xml:space="preserve"> CONCATENATE(Setup!$B$8, ", ", LEFT(Setup!$C$8,2))</f>
        <v>&lt;TM2&gt;, 2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77"/>
      <c r="B39" s="17" t="str">
        <f xml:space="preserve"> CONCATENATE(Setup!$B$9, ", ", LEFT(Setup!$C$9,2))</f>
        <v>&lt;TM3&gt;, 3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77"/>
      <c r="B40" s="17" t="str">
        <f xml:space="preserve"> CONCATENATE(Setup!$B$10, ", ", LEFT(Setup!$C$10,2))</f>
        <v>&lt;TM4&gt;, 4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77"/>
      <c r="B41" s="18" t="s">
        <v>35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7" t="s">
        <v>13</v>
      </c>
      <c r="B43" s="17" t="str">
        <f xml:space="preserve"> CONCATENATE(Setup!$B$7, ", ", LEFT(Setup!$C$7,2))</f>
        <v>&lt;TM1&gt;, 1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77"/>
      <c r="B44" s="17" t="str">
        <f xml:space="preserve"> CONCATENATE(Setup!$B$8, ", ", LEFT(Setup!$C$8,2))</f>
        <v>&lt;TM2&gt;, 2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77"/>
      <c r="B45" s="17" t="str">
        <f xml:space="preserve"> CONCATENATE(Setup!$B$9, ", ", LEFT(Setup!$C$9,2))</f>
        <v>&lt;TM3&gt;, 3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77"/>
      <c r="B46" s="17" t="str">
        <f xml:space="preserve"> CONCATENATE(Setup!$B$10, ", ", LEFT(Setup!$C$10,2))</f>
        <v>&lt;TM4&gt;, 4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77"/>
      <c r="B47" s="18" t="s">
        <v>35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B7" sqref="B7"/>
    </sheetView>
  </sheetViews>
  <sheetFormatPr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31</v>
      </c>
    </row>
    <row r="3" spans="1:3" x14ac:dyDescent="0.25">
      <c r="A3" s="3" t="s">
        <v>1</v>
      </c>
      <c r="B3" s="40">
        <v>42254</v>
      </c>
    </row>
    <row r="4" spans="1:3" x14ac:dyDescent="0.25">
      <c r="A4" s="3" t="s">
        <v>30</v>
      </c>
      <c r="B4" s="40">
        <v>42380</v>
      </c>
    </row>
    <row r="5" spans="1:3" x14ac:dyDescent="0.25">
      <c r="A5" s="3"/>
    </row>
    <row r="6" spans="1:3" ht="15.75" thickBot="1" x14ac:dyDescent="0.3">
      <c r="B6" s="2" t="s">
        <v>0</v>
      </c>
      <c r="C6" s="2" t="s">
        <v>33</v>
      </c>
    </row>
    <row r="7" spans="1:3" ht="15.75" thickBot="1" x14ac:dyDescent="0.3">
      <c r="A7" s="3" t="s">
        <v>2</v>
      </c>
      <c r="B7" s="13" t="s">
        <v>7</v>
      </c>
      <c r="C7" s="16">
        <v>1</v>
      </c>
    </row>
    <row r="8" spans="1:3" ht="15.75" thickBot="1" x14ac:dyDescent="0.3">
      <c r="A8" s="3" t="s">
        <v>3</v>
      </c>
      <c r="B8" s="13" t="s">
        <v>8</v>
      </c>
      <c r="C8" s="16">
        <v>2</v>
      </c>
    </row>
    <row r="9" spans="1:3" ht="15.75" thickBot="1" x14ac:dyDescent="0.3">
      <c r="A9" s="3" t="s">
        <v>4</v>
      </c>
      <c r="B9" s="13" t="s">
        <v>9</v>
      </c>
      <c r="C9" s="16">
        <v>3</v>
      </c>
    </row>
    <row r="10" spans="1:3" ht="15.75" thickBot="1" x14ac:dyDescent="0.3">
      <c r="A10" s="3" t="s">
        <v>5</v>
      </c>
      <c r="B10" s="13" t="s">
        <v>10</v>
      </c>
      <c r="C10" s="16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2015-09-28T06:40:19Z</dcterms:modified>
</cp:coreProperties>
</file>
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0" yWindow="0" windowWidth="9270" windowHeight="9420" tabRatio="893" activeTab="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D26" i="43"/>
  <c r="L7" i="1"/>
  <c r="L19" i="1"/>
  <c r="M7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8" i="1"/>
  <c r="L20" i="1"/>
  <c r="M8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M9" i="1"/>
  <c r="M15" i="1"/>
  <c r="L15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P22" i="1"/>
  <c r="Q22" i="1"/>
  <c r="R22" i="1"/>
  <c r="S22" i="1"/>
  <c r="T22" i="1"/>
  <c r="U22" i="1"/>
  <c r="V22" i="1"/>
  <c r="W22" i="1"/>
  <c r="X22" i="1"/>
  <c r="Y22" i="1"/>
  <c r="O22" i="1"/>
  <c r="N22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L22" i="1"/>
  <c r="M22" i="1"/>
  <c r="D22" i="1"/>
  <c r="D21" i="1"/>
  <c r="D20" i="1"/>
  <c r="D19" i="1"/>
  <c r="C4" i="43"/>
  <c r="C4" i="2"/>
  <c r="B2" i="43"/>
  <c r="B2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6" i="1"/>
  <c r="M16" i="1"/>
  <c r="M13" i="1"/>
  <c r="M17" i="1"/>
  <c r="L13" i="1"/>
  <c r="L9" i="1"/>
  <c r="M10" i="1"/>
  <c r="M11" i="1"/>
  <c r="L10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<sst xmlns="http://schemas.openxmlformats.org/spreadsheetml/2006/main" count="294" uniqueCount="52">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</sst>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7293856"/>
        <c:axId val="10851943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14.885833333333332</c:v>
                </c:pt>
                <c:pt idx="12">
                  <c:v>13.74076923076923</c:v>
                </c:pt>
                <c:pt idx="13">
                  <c:v>12.759285714285713</c:v>
                </c:pt>
                <c:pt idx="14">
                  <c:v>11.908666666666667</c:v>
                </c:pt>
                <c:pt idx="15">
                  <c:v>11.164375</c:v>
                </c:pt>
                <c:pt idx="16">
                  <c:v>10.50764705882353</c:v>
                </c:pt>
                <c:pt idx="17">
                  <c:v>9.9238888888888894</c:v>
                </c:pt>
                <c:pt idx="18">
                  <c:v>9.4015789473684208</c:v>
                </c:pt>
                <c:pt idx="19">
                  <c:v>8.9314999999999998</c:v>
                </c:pt>
                <c:pt idx="20">
                  <c:v>8.5061904761904756</c:v>
                </c:pt>
                <c:pt idx="21">
                  <c:v>8.1195454545454542</c:v>
                </c:pt>
                <c:pt idx="22">
                  <c:v>7.7665217391304342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293856"/>
        <c:axId val="1085194352"/>
      </c:lineChart>
      <c:catAx>
        <c:axId val="108729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194352"/>
        <c:crosses val="autoZero"/>
        <c:auto val="0"/>
        <c:lblAlgn val="ctr"/>
        <c:lblOffset val="100"/>
        <c:noMultiLvlLbl val="0"/>
      </c:catAx>
      <c:valAx>
        <c:axId val="10851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29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5207952"/>
        <c:axId val="12433312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5.75</c:v>
                </c:pt>
                <c:pt idx="12">
                  <c:v>5.3076923076923075</c:v>
                </c:pt>
                <c:pt idx="13">
                  <c:v>4.9285714285714288</c:v>
                </c:pt>
                <c:pt idx="14">
                  <c:v>4.5999999999999996</c:v>
                </c:pt>
                <c:pt idx="15">
                  <c:v>4.3125</c:v>
                </c:pt>
                <c:pt idx="16">
                  <c:v>4.0588235294117645</c:v>
                </c:pt>
                <c:pt idx="17">
                  <c:v>3.8333333333333335</c:v>
                </c:pt>
                <c:pt idx="18">
                  <c:v>3.6315789473684212</c:v>
                </c:pt>
                <c:pt idx="19">
                  <c:v>3.45</c:v>
                </c:pt>
                <c:pt idx="20">
                  <c:v>3.2857142857142856</c:v>
                </c:pt>
                <c:pt idx="21">
                  <c:v>3.1363636363636362</c:v>
                </c:pt>
                <c:pt idx="22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207952"/>
        <c:axId val="1243331200"/>
      </c:lineChart>
      <c:catAx>
        <c:axId val="1085207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31200"/>
        <c:crosses val="autoZero"/>
        <c:auto val="0"/>
        <c:lblAlgn val="ctr"/>
        <c:lblOffset val="100"/>
        <c:noMultiLvlLbl val="0"/>
      </c:catAx>
      <c:valAx>
        <c:axId val="1243331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207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21952"/>
        <c:axId val="124332902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5.6094166666666672</c:v>
                </c:pt>
                <c:pt idx="12">
                  <c:v>5.1779230769230775</c:v>
                </c:pt>
                <c:pt idx="13">
                  <c:v>4.808071428571429</c:v>
                </c:pt>
                <c:pt idx="14">
                  <c:v>4.4875333333333334</c:v>
                </c:pt>
                <c:pt idx="15">
                  <c:v>4.2070625000000001</c:v>
                </c:pt>
                <c:pt idx="16">
                  <c:v>3.9595882352941176</c:v>
                </c:pt>
                <c:pt idx="17">
                  <c:v>3.7396111111111114</c:v>
                </c:pt>
                <c:pt idx="18">
                  <c:v>3.5427894736842105</c:v>
                </c:pt>
                <c:pt idx="19">
                  <c:v>3.36565</c:v>
                </c:pt>
                <c:pt idx="20">
                  <c:v>3.2053809523809527</c:v>
                </c:pt>
                <c:pt idx="21">
                  <c:v>3.0596818181818182</c:v>
                </c:pt>
                <c:pt idx="22">
                  <c:v>2.9266521739130438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21952"/>
        <c:axId val="1243329024"/>
      </c:lineChart>
      <c:catAx>
        <c:axId val="124332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9024"/>
        <c:crosses val="autoZero"/>
        <c:auto val="0"/>
        <c:lblAlgn val="ctr"/>
        <c:lblOffset val="100"/>
        <c:noMultiLvlLbl val="0"/>
      </c:catAx>
      <c:valAx>
        <c:axId val="1243329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1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35008"/>
        <c:axId val="12433263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3.5264166666666665</c:v>
                </c:pt>
                <c:pt idx="12">
                  <c:v>3.2551538461538461</c:v>
                </c:pt>
                <c:pt idx="13">
                  <c:v>3.022642857142857</c:v>
                </c:pt>
                <c:pt idx="14">
                  <c:v>2.8211333333333335</c:v>
                </c:pt>
                <c:pt idx="15">
                  <c:v>2.6448125</c:v>
                </c:pt>
                <c:pt idx="16">
                  <c:v>2.489235294117647</c:v>
                </c:pt>
                <c:pt idx="17">
                  <c:v>2.3509444444444445</c:v>
                </c:pt>
                <c:pt idx="18">
                  <c:v>2.2272105263157895</c:v>
                </c:pt>
                <c:pt idx="19">
                  <c:v>2.11585</c:v>
                </c:pt>
                <c:pt idx="20">
                  <c:v>2.0150952380952383</c:v>
                </c:pt>
                <c:pt idx="21">
                  <c:v>1.9235</c:v>
                </c:pt>
                <c:pt idx="22">
                  <c:v>1.8398695652173913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35008"/>
        <c:axId val="1243326304"/>
      </c:lineChart>
      <c:catAx>
        <c:axId val="124333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6304"/>
        <c:crosses val="autoZero"/>
        <c:auto val="0"/>
        <c:lblAlgn val="ctr"/>
        <c:lblOffset val="100"/>
        <c:noMultiLvlLbl val="0"/>
      </c:catAx>
      <c:valAx>
        <c:axId val="1243326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35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34464"/>
        <c:axId val="124332739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34464"/>
        <c:axId val="1243327392"/>
      </c:lineChart>
      <c:catAx>
        <c:axId val="124333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7392"/>
        <c:crosses val="autoZero"/>
        <c:auto val="0"/>
        <c:lblAlgn val="ctr"/>
        <c:lblOffset val="100"/>
        <c:noMultiLvlLbl val="0"/>
      </c:catAx>
      <c:valAx>
        <c:axId val="124332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344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32288"/>
        <c:axId val="12433279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32288"/>
        <c:axId val="1243327936"/>
      </c:lineChart>
      <c:catAx>
        <c:axId val="124333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7936"/>
        <c:crosses val="autoZero"/>
        <c:auto val="1"/>
        <c:lblAlgn val="ctr"/>
        <c:lblOffset val="100"/>
        <c:noMultiLvlLbl val="1"/>
      </c:catAx>
      <c:valAx>
        <c:axId val="12433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3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23584"/>
        <c:axId val="124332304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23584"/>
        <c:axId val="1243323040"/>
      </c:lineChart>
      <c:catAx>
        <c:axId val="124332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3040"/>
        <c:crosses val="autoZero"/>
        <c:auto val="1"/>
        <c:lblAlgn val="ctr"/>
        <c:lblOffset val="100"/>
        <c:noMultiLvlLbl val="1"/>
      </c:catAx>
      <c:valAx>
        <c:axId val="1243323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3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20864"/>
        <c:axId val="1243322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20864"/>
        <c:axId val="1243322496"/>
      </c:lineChart>
      <c:catAx>
        <c:axId val="124332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2496"/>
        <c:crosses val="autoZero"/>
        <c:auto val="1"/>
        <c:lblAlgn val="ctr"/>
        <c:lblOffset val="100"/>
        <c:noMultiLvlLbl val="1"/>
      </c:catAx>
      <c:valAx>
        <c:axId val="124332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0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324672"/>
        <c:axId val="12433257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324672"/>
        <c:axId val="1243325760"/>
      </c:lineChart>
      <c:catAx>
        <c:axId val="124332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5760"/>
        <c:crosses val="autoZero"/>
        <c:auto val="1"/>
        <c:lblAlgn val="ctr"/>
        <c:lblOffset val="100"/>
        <c:noMultiLvlLbl val="1"/>
      </c:catAx>
      <c:valAx>
        <c:axId val="1243325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324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78592"/>
        <c:axId val="12435818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78592"/>
        <c:axId val="1243581856"/>
      </c:lineChart>
      <c:catAx>
        <c:axId val="1243578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1856"/>
        <c:crosses val="autoZero"/>
        <c:auto val="1"/>
        <c:lblAlgn val="ctr"/>
        <c:lblOffset val="100"/>
        <c:noMultiLvlLbl val="1"/>
      </c:catAx>
      <c:valAx>
        <c:axId val="1243581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785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82400"/>
        <c:axId val="1243585664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82400"/>
        <c:axId val="1243585664"/>
      </c:lineChart>
      <c:catAx>
        <c:axId val="124358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5664"/>
        <c:crosses val="autoZero"/>
        <c:auto val="0"/>
        <c:lblAlgn val="ctr"/>
        <c:lblOffset val="100"/>
        <c:noMultiLvlLbl val="1"/>
      </c:catAx>
      <c:valAx>
        <c:axId val="12435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82944"/>
        <c:axId val="124358838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82944"/>
        <c:axId val="1243588384"/>
      </c:lineChart>
      <c:catAx>
        <c:axId val="124358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8384"/>
        <c:crosses val="autoZero"/>
        <c:auto val="1"/>
        <c:lblAlgn val="ctr"/>
        <c:lblOffset val="100"/>
        <c:noMultiLvlLbl val="1"/>
      </c:catAx>
      <c:valAx>
        <c:axId val="1243588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2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88928"/>
        <c:axId val="124357750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88928"/>
        <c:axId val="1243577504"/>
      </c:lineChart>
      <c:catAx>
        <c:axId val="124358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77504"/>
        <c:crosses val="autoZero"/>
        <c:auto val="1"/>
        <c:lblAlgn val="ctr"/>
        <c:lblOffset val="100"/>
        <c:noMultiLvlLbl val="1"/>
      </c:catAx>
      <c:valAx>
        <c:axId val="124357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8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79680"/>
        <c:axId val="12435736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79680"/>
        <c:axId val="1243573696"/>
      </c:lineChart>
      <c:catAx>
        <c:axId val="124357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73696"/>
        <c:crosses val="autoZero"/>
        <c:auto val="1"/>
        <c:lblAlgn val="ctr"/>
        <c:lblOffset val="100"/>
        <c:noMultiLvlLbl val="1"/>
      </c:catAx>
      <c:valAx>
        <c:axId val="1243573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79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84576"/>
        <c:axId val="124358022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84576"/>
        <c:axId val="1243580224"/>
      </c:lineChart>
      <c:catAx>
        <c:axId val="124358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0224"/>
        <c:crosses val="autoZero"/>
        <c:auto val="1"/>
        <c:lblAlgn val="ctr"/>
        <c:lblOffset val="100"/>
        <c:noMultiLvlLbl val="1"/>
      </c:catAx>
      <c:valAx>
        <c:axId val="1243580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4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586208"/>
        <c:axId val="124357424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3586208"/>
        <c:axId val="1243574240"/>
      </c:lineChart>
      <c:catAx>
        <c:axId val="124358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74240"/>
        <c:crosses val="autoZero"/>
        <c:auto val="0"/>
        <c:lblAlgn val="ctr"/>
        <c:lblOffset val="100"/>
        <c:noMultiLvlLbl val="1"/>
      </c:catAx>
      <c:valAx>
        <c:axId val="124357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5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03632"/>
        <c:axId val="12429177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3632"/>
        <c:axId val="1242917776"/>
      </c:lineChart>
      <c:catAx>
        <c:axId val="1242903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7776"/>
        <c:crosses val="autoZero"/>
        <c:auto val="1"/>
        <c:lblAlgn val="ctr"/>
        <c:lblOffset val="100"/>
        <c:noMultiLvlLbl val="1"/>
      </c:catAx>
      <c:valAx>
        <c:axId val="12429177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3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04720"/>
        <c:axId val="12429096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04720"/>
        <c:axId val="1242909616"/>
      </c:lineChart>
      <c:catAx>
        <c:axId val="1242904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9616"/>
        <c:crosses val="autoZero"/>
        <c:auto val="1"/>
        <c:lblAlgn val="ctr"/>
        <c:lblOffset val="100"/>
        <c:noMultiLvlLbl val="1"/>
      </c:catAx>
      <c:valAx>
        <c:axId val="1242909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4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17232"/>
        <c:axId val="124291614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7232"/>
        <c:axId val="1242916144"/>
      </c:lineChart>
      <c:catAx>
        <c:axId val="124291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6144"/>
        <c:crosses val="autoZero"/>
        <c:auto val="1"/>
        <c:lblAlgn val="ctr"/>
        <c:lblOffset val="100"/>
        <c:noMultiLvlLbl val="1"/>
      </c:catAx>
      <c:valAx>
        <c:axId val="1242916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72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15056"/>
        <c:axId val="124291124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5056"/>
        <c:axId val="1242911248"/>
      </c:lineChart>
      <c:catAx>
        <c:axId val="1242915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1248"/>
        <c:crosses val="autoZero"/>
        <c:auto val="1"/>
        <c:lblAlgn val="ctr"/>
        <c:lblOffset val="100"/>
        <c:noMultiLvlLbl val="1"/>
      </c:catAx>
      <c:valAx>
        <c:axId val="1242911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5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11792"/>
        <c:axId val="124291342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1792"/>
        <c:axId val="1242913424"/>
      </c:lineChart>
      <c:catAx>
        <c:axId val="1242911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3424"/>
        <c:crosses val="autoZero"/>
        <c:auto val="0"/>
        <c:lblAlgn val="ctr"/>
        <c:lblOffset val="100"/>
        <c:noMultiLvlLbl val="1"/>
      </c:catAx>
      <c:valAx>
        <c:axId val="124291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14512"/>
        <c:axId val="12429063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4512"/>
        <c:axId val="1242906352"/>
      </c:lineChart>
      <c:catAx>
        <c:axId val="1242914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6352"/>
        <c:crosses val="autoZero"/>
        <c:auto val="1"/>
        <c:lblAlgn val="ctr"/>
        <c:lblOffset val="100"/>
        <c:noMultiLvlLbl val="1"/>
      </c:catAx>
      <c:valAx>
        <c:axId val="1242906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4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2910160"/>
        <c:axId val="124290744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910160"/>
        <c:axId val="1242907440"/>
      </c:lineChart>
      <c:catAx>
        <c:axId val="1242910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7440"/>
        <c:crosses val="autoZero"/>
        <c:auto val="1"/>
        <c:lblAlgn val="ctr"/>
        <c:lblOffset val="100"/>
        <c:noMultiLvlLbl val="1"/>
      </c:catAx>
      <c:valAx>
        <c:axId val="124290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10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07344"/>
        <c:axId val="124730516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07344"/>
        <c:axId val="1247305168"/>
      </c:lineChart>
      <c:catAx>
        <c:axId val="124730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5168"/>
        <c:crosses val="autoZero"/>
        <c:auto val="1"/>
        <c:lblAlgn val="ctr"/>
        <c:lblOffset val="100"/>
        <c:noMultiLvlLbl val="1"/>
      </c:catAx>
      <c:valAx>
        <c:axId val="124730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7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15504"/>
        <c:axId val="12473111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15504"/>
        <c:axId val="1247311152"/>
      </c:lineChart>
      <c:catAx>
        <c:axId val="124731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1152"/>
        <c:crosses val="autoZero"/>
        <c:auto val="1"/>
        <c:lblAlgn val="ctr"/>
        <c:lblOffset val="100"/>
        <c:noMultiLvlLbl val="1"/>
      </c:catAx>
      <c:valAx>
        <c:axId val="1247311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55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04624"/>
        <c:axId val="124730244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04624"/>
        <c:axId val="1247302448"/>
      </c:lineChart>
      <c:catAx>
        <c:axId val="1247304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2448"/>
        <c:crosses val="autoZero"/>
        <c:auto val="0"/>
        <c:lblAlgn val="ctr"/>
        <c:lblOffset val="100"/>
        <c:noMultiLvlLbl val="1"/>
      </c:catAx>
      <c:valAx>
        <c:axId val="12473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08976"/>
        <c:axId val="124731332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08976"/>
        <c:axId val="1247313328"/>
      </c:lineChart>
      <c:catAx>
        <c:axId val="124730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3328"/>
        <c:crosses val="autoZero"/>
        <c:auto val="1"/>
        <c:lblAlgn val="ctr"/>
        <c:lblOffset val="100"/>
        <c:noMultiLvlLbl val="1"/>
      </c:catAx>
      <c:valAx>
        <c:axId val="1247313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8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13872"/>
        <c:axId val="124731441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13872"/>
        <c:axId val="1247314416"/>
      </c:lineChart>
      <c:catAx>
        <c:axId val="124731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4416"/>
        <c:crosses val="autoZero"/>
        <c:auto val="1"/>
        <c:lblAlgn val="ctr"/>
        <c:lblOffset val="100"/>
        <c:noMultiLvlLbl val="1"/>
      </c:catAx>
      <c:valAx>
        <c:axId val="1247314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38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16592"/>
        <c:axId val="12473013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16592"/>
        <c:axId val="1247301360"/>
      </c:lineChart>
      <c:catAx>
        <c:axId val="1247316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1360"/>
        <c:crosses val="autoZero"/>
        <c:auto val="1"/>
        <c:lblAlgn val="ctr"/>
        <c:lblOffset val="100"/>
        <c:noMultiLvlLbl val="1"/>
      </c:catAx>
      <c:valAx>
        <c:axId val="1247301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65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01904"/>
        <c:axId val="124730299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01904"/>
        <c:axId val="1247302992"/>
      </c:lineChart>
      <c:catAx>
        <c:axId val="1247301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2992"/>
        <c:crosses val="autoZero"/>
        <c:auto val="1"/>
        <c:lblAlgn val="ctr"/>
        <c:lblOffset val="100"/>
        <c:noMultiLvlLbl val="1"/>
      </c:catAx>
      <c:valAx>
        <c:axId val="1247302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1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7304080"/>
        <c:axId val="124863020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04080"/>
        <c:axId val="1248630208"/>
      </c:lineChart>
      <c:catAx>
        <c:axId val="124730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0208"/>
        <c:crosses val="autoZero"/>
        <c:auto val="0"/>
        <c:lblAlgn val="ctr"/>
        <c:lblOffset val="100"/>
        <c:noMultiLvlLbl val="1"/>
      </c:catAx>
      <c:valAx>
        <c:axId val="12486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0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39456"/>
        <c:axId val="12486378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39456"/>
        <c:axId val="1248637824"/>
      </c:lineChart>
      <c:catAx>
        <c:axId val="124863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7824"/>
        <c:crosses val="autoZero"/>
        <c:auto val="1"/>
        <c:lblAlgn val="ctr"/>
        <c:lblOffset val="100"/>
        <c:noMultiLvlLbl val="1"/>
      </c:catAx>
      <c:valAx>
        <c:axId val="1248637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9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34560"/>
        <c:axId val="124864000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34560"/>
        <c:axId val="1248640000"/>
      </c:lineChart>
      <c:catAx>
        <c:axId val="124863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40000"/>
        <c:crosses val="autoZero"/>
        <c:auto val="1"/>
        <c:lblAlgn val="ctr"/>
        <c:lblOffset val="100"/>
        <c:noMultiLvlLbl val="1"/>
      </c:catAx>
      <c:valAx>
        <c:axId val="1248640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4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41088"/>
        <c:axId val="124862585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41088"/>
        <c:axId val="1248625856"/>
      </c:lineChart>
      <c:catAx>
        <c:axId val="124864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25856"/>
        <c:crosses val="autoZero"/>
        <c:auto val="1"/>
        <c:lblAlgn val="ctr"/>
        <c:lblOffset val="100"/>
        <c:noMultiLvlLbl val="1"/>
      </c:catAx>
      <c:valAx>
        <c:axId val="1248625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41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37280"/>
        <c:axId val="124863836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37280"/>
        <c:axId val="1248638368"/>
      </c:lineChart>
      <c:catAx>
        <c:axId val="124863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8368"/>
        <c:crosses val="autoZero"/>
        <c:auto val="1"/>
        <c:lblAlgn val="ctr"/>
        <c:lblOffset val="100"/>
        <c:noMultiLvlLbl val="1"/>
      </c:catAx>
      <c:valAx>
        <c:axId val="1248638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7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26944"/>
        <c:axId val="124863238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26944"/>
        <c:axId val="1248632384"/>
      </c:lineChart>
      <c:catAx>
        <c:axId val="124862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2384"/>
        <c:crosses val="autoZero"/>
        <c:auto val="0"/>
        <c:lblAlgn val="ctr"/>
        <c:lblOffset val="100"/>
        <c:noMultiLvlLbl val="1"/>
      </c:catAx>
      <c:valAx>
        <c:axId val="124863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35648"/>
        <c:axId val="124862748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35648"/>
        <c:axId val="1248627488"/>
      </c:lineChart>
      <c:catAx>
        <c:axId val="124863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27488"/>
        <c:crosses val="autoZero"/>
        <c:auto val="1"/>
        <c:lblAlgn val="ctr"/>
        <c:lblOffset val="100"/>
        <c:noMultiLvlLbl val="1"/>
      </c:catAx>
      <c:valAx>
        <c:axId val="1248627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35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629120"/>
        <c:axId val="12486296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629120"/>
        <c:axId val="1248629664"/>
      </c:lineChart>
      <c:catAx>
        <c:axId val="124862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29664"/>
        <c:crosses val="autoZero"/>
        <c:auto val="1"/>
        <c:lblAlgn val="ctr"/>
        <c:lblOffset val="100"/>
        <c:noMultiLvlLbl val="1"/>
      </c:catAx>
      <c:valAx>
        <c:axId val="1248629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629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58912"/>
        <c:axId val="124826163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58912"/>
        <c:axId val="1248261632"/>
      </c:lineChart>
      <c:catAx>
        <c:axId val="124825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1632"/>
        <c:crosses val="autoZero"/>
        <c:auto val="1"/>
        <c:lblAlgn val="ctr"/>
        <c:lblOffset val="100"/>
        <c:noMultiLvlLbl val="1"/>
      </c:catAx>
      <c:valAx>
        <c:axId val="1248261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5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69248"/>
        <c:axId val="12482697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69248"/>
        <c:axId val="1248269792"/>
      </c:lineChart>
      <c:catAx>
        <c:axId val="124826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9792"/>
        <c:crosses val="autoZero"/>
        <c:auto val="1"/>
        <c:lblAlgn val="ctr"/>
        <c:lblOffset val="100"/>
        <c:noMultiLvlLbl val="1"/>
      </c:catAx>
      <c:valAx>
        <c:axId val="1248269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9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62176"/>
        <c:axId val="124825782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62176"/>
        <c:axId val="1248257824"/>
      </c:lineChart>
      <c:catAx>
        <c:axId val="124826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57824"/>
        <c:crosses val="autoZero"/>
        <c:auto val="0"/>
        <c:lblAlgn val="ctr"/>
        <c:lblOffset val="100"/>
        <c:noMultiLvlLbl val="1"/>
      </c:catAx>
      <c:valAx>
        <c:axId val="124825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70336"/>
        <c:axId val="124826000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70336"/>
        <c:axId val="1248260000"/>
      </c:lineChart>
      <c:catAx>
        <c:axId val="1248270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0000"/>
        <c:crosses val="autoZero"/>
        <c:auto val="1"/>
        <c:lblAlgn val="ctr"/>
        <c:lblOffset val="100"/>
        <c:noMultiLvlLbl val="1"/>
      </c:catAx>
      <c:valAx>
        <c:axId val="1248260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70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62720"/>
        <c:axId val="124826326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62720"/>
        <c:axId val="1248263264"/>
      </c:lineChart>
      <c:catAx>
        <c:axId val="124826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3264"/>
        <c:crosses val="autoZero"/>
        <c:auto val="1"/>
        <c:lblAlgn val="ctr"/>
        <c:lblOffset val="100"/>
        <c:noMultiLvlLbl val="1"/>
      </c:catAx>
      <c:valAx>
        <c:axId val="1248263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2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70880"/>
        <c:axId val="124826489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70880"/>
        <c:axId val="1248264896"/>
      </c:lineChart>
      <c:catAx>
        <c:axId val="124827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4896"/>
        <c:crosses val="autoZero"/>
        <c:auto val="1"/>
        <c:lblAlgn val="ctr"/>
        <c:lblOffset val="100"/>
        <c:noMultiLvlLbl val="1"/>
      </c:catAx>
      <c:valAx>
        <c:axId val="1248264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70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8265984"/>
        <c:axId val="124826761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65984"/>
        <c:axId val="1248267616"/>
      </c:lineChart>
      <c:catAx>
        <c:axId val="124826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7616"/>
        <c:crosses val="autoZero"/>
        <c:auto val="1"/>
        <c:lblAlgn val="ctr"/>
        <c:lblOffset val="100"/>
        <c:noMultiLvlLbl val="1"/>
      </c:catAx>
      <c:valAx>
        <c:axId val="1248267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6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66832"/>
        <c:axId val="126103582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66832"/>
        <c:axId val="1261035824"/>
      </c:lineChart>
      <c:catAx>
        <c:axId val="126106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35824"/>
        <c:crosses val="autoZero"/>
        <c:auto val="0"/>
        <c:lblAlgn val="ctr"/>
        <c:lblOffset val="100"/>
        <c:noMultiLvlLbl val="1"/>
      </c:catAx>
      <c:valAx>
        <c:axId val="126103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2352"/>
        <c:axId val="126105268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2352"/>
        <c:axId val="1261052688"/>
      </c:lineChart>
      <c:catAx>
        <c:axId val="12610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2688"/>
        <c:crosses val="autoZero"/>
        <c:auto val="1"/>
        <c:lblAlgn val="ctr"/>
        <c:lblOffset val="100"/>
        <c:noMultiLvlLbl val="1"/>
      </c:catAx>
      <c:valAx>
        <c:axId val="1261052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2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6160"/>
        <c:axId val="12610450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6160"/>
        <c:axId val="1261045072"/>
      </c:lineChart>
      <c:catAx>
        <c:axId val="126104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5072"/>
        <c:crosses val="autoZero"/>
        <c:auto val="1"/>
        <c:lblAlgn val="ctr"/>
        <c:lblOffset val="100"/>
        <c:noMultiLvlLbl val="1"/>
      </c:catAx>
      <c:valAx>
        <c:axId val="1261045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6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0720"/>
        <c:axId val="126106411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0720"/>
        <c:axId val="1261064112"/>
      </c:lineChart>
      <c:catAx>
        <c:axId val="126104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4112"/>
        <c:crosses val="autoZero"/>
        <c:auto val="1"/>
        <c:lblAlgn val="ctr"/>
        <c:lblOffset val="100"/>
        <c:noMultiLvlLbl val="1"/>
      </c:catAx>
      <c:valAx>
        <c:axId val="1261064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0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2896"/>
        <c:axId val="126105432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2896"/>
        <c:axId val="1261054320"/>
      </c:lineChart>
      <c:catAx>
        <c:axId val="126104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4320"/>
        <c:crosses val="autoZero"/>
        <c:auto val="1"/>
        <c:lblAlgn val="ctr"/>
        <c:lblOffset val="100"/>
        <c:noMultiLvlLbl val="1"/>
      </c:catAx>
      <c:valAx>
        <c:axId val="1261054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2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67376"/>
        <c:axId val="126104344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67376"/>
        <c:axId val="1261043440"/>
      </c:lineChart>
      <c:catAx>
        <c:axId val="126106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3440"/>
        <c:crosses val="autoZero"/>
        <c:auto val="0"/>
        <c:lblAlgn val="ctr"/>
        <c:lblOffset val="100"/>
        <c:noMultiLvlLbl val="1"/>
      </c:catAx>
      <c:valAx>
        <c:axId val="12610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61936"/>
        <c:axId val="12610505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61936"/>
        <c:axId val="1261050512"/>
      </c:lineChart>
      <c:catAx>
        <c:axId val="1261061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0512"/>
        <c:crosses val="autoZero"/>
        <c:auto val="1"/>
        <c:lblAlgn val="ctr"/>
        <c:lblOffset val="100"/>
        <c:noMultiLvlLbl val="1"/>
      </c:catAx>
      <c:valAx>
        <c:axId val="1261050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1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57040"/>
        <c:axId val="126104180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57040"/>
        <c:axId val="1261041808"/>
      </c:lineChart>
      <c:catAx>
        <c:axId val="126105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1808"/>
        <c:crosses val="autoZero"/>
        <c:auto val="1"/>
        <c:lblAlgn val="ctr"/>
        <c:lblOffset val="100"/>
        <c:noMultiLvlLbl val="1"/>
      </c:catAx>
      <c:valAx>
        <c:axId val="126104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57584"/>
        <c:axId val="126104942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57584"/>
        <c:axId val="1261049424"/>
      </c:lineChart>
      <c:catAx>
        <c:axId val="126105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9424"/>
        <c:crosses val="autoZero"/>
        <c:auto val="1"/>
        <c:lblAlgn val="ctr"/>
        <c:lblOffset val="100"/>
        <c:noMultiLvlLbl val="1"/>
      </c:catAx>
      <c:valAx>
        <c:axId val="1261049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7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53776"/>
        <c:axId val="12610369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53776"/>
        <c:axId val="1261036912"/>
      </c:lineChart>
      <c:catAx>
        <c:axId val="126105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36912"/>
        <c:crosses val="autoZero"/>
        <c:auto val="1"/>
        <c:lblAlgn val="ctr"/>
        <c:lblOffset val="100"/>
        <c:noMultiLvlLbl val="1"/>
      </c:catAx>
      <c:valAx>
        <c:axId val="1261036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37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58672"/>
        <c:axId val="126105105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58672"/>
        <c:axId val="1261051056"/>
      </c:lineChart>
      <c:catAx>
        <c:axId val="12610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1056"/>
        <c:crosses val="autoZero"/>
        <c:auto val="0"/>
        <c:lblAlgn val="ctr"/>
        <c:lblOffset val="100"/>
        <c:noMultiLvlLbl val="1"/>
      </c:catAx>
      <c:valAx>
        <c:axId val="126105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6704"/>
        <c:axId val="126106302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6704"/>
        <c:axId val="1261063024"/>
      </c:lineChart>
      <c:catAx>
        <c:axId val="1261046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3024"/>
        <c:crosses val="autoZero"/>
        <c:auto val="1"/>
        <c:lblAlgn val="ctr"/>
        <c:lblOffset val="100"/>
        <c:noMultiLvlLbl val="1"/>
      </c:catAx>
      <c:valAx>
        <c:axId val="1261063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6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63568"/>
        <c:axId val="126106465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63568"/>
        <c:axId val="1261064656"/>
      </c:lineChart>
      <c:catAx>
        <c:axId val="1261063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4656"/>
        <c:crosses val="autoZero"/>
        <c:auto val="1"/>
        <c:lblAlgn val="ctr"/>
        <c:lblOffset val="100"/>
        <c:noMultiLvlLbl val="1"/>
      </c:catAx>
      <c:valAx>
        <c:axId val="126106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63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52144"/>
        <c:axId val="126104017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52144"/>
        <c:axId val="1261040176"/>
      </c:lineChart>
      <c:catAx>
        <c:axId val="126105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0176"/>
        <c:crosses val="autoZero"/>
        <c:auto val="1"/>
        <c:lblAlgn val="ctr"/>
        <c:lblOffset val="100"/>
        <c:noMultiLvlLbl val="1"/>
      </c:catAx>
      <c:valAx>
        <c:axId val="1261040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52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047248"/>
        <c:axId val="12610483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047248"/>
        <c:axId val="1261048336"/>
      </c:lineChart>
      <c:catAx>
        <c:axId val="126104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8336"/>
        <c:crosses val="autoZero"/>
        <c:auto val="1"/>
        <c:lblAlgn val="ctr"/>
        <c:lblOffset val="100"/>
        <c:noMultiLvlLbl val="1"/>
      </c:catAx>
      <c:valAx>
        <c:axId val="1261048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047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40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9" t="s">
        <v>24</v>
      </c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7" t="s">
        <v>22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78" t="s">
        <v>23</v>
      </c>
      <c r="O3" s="78"/>
      <c r="P3" s="78"/>
      <c r="Q3" s="78"/>
      <c r="R3" s="78"/>
      <c r="S3" s="78"/>
      <c r="T3" s="78"/>
      <c r="U3" s="78"/>
      <c r="V3" s="78"/>
      <c r="W3" s="78"/>
      <c r="X3" s="78"/>
      <c r="Y3" s="79"/>
    </row>
    <row r="4" spans="1:25" ht="15.75" x14ac:dyDescent="0.25">
      <c r="C4" s="74" t="s">
        <v>12</v>
      </c>
      <c r="D4" s="74"/>
      <c r="E4" s="74"/>
      <c r="F4" s="74" t="s">
        <v>11</v>
      </c>
      <c r="G4" s="74"/>
      <c r="H4" s="74" t="s">
        <v>13</v>
      </c>
      <c r="I4" s="74"/>
      <c r="J4" s="74" t="s">
        <v>14</v>
      </c>
      <c r="K4" s="74"/>
      <c r="L4" s="71" t="s">
        <v>15</v>
      </c>
      <c r="M4" s="72"/>
      <c r="N4" s="72" t="s">
        <v>16</v>
      </c>
      <c r="O4" s="73"/>
      <c r="P4" s="74" t="s">
        <v>17</v>
      </c>
      <c r="Q4" s="74"/>
      <c r="R4" s="74" t="s">
        <v>18</v>
      </c>
      <c r="S4" s="74"/>
      <c r="T4" s="74" t="s">
        <v>19</v>
      </c>
      <c r="U4" s="74"/>
      <c r="V4" s="74" t="s">
        <v>20</v>
      </c>
      <c r="W4" s="74"/>
      <c r="X4" s="74" t="s">
        <v>21</v>
      </c>
      <c r="Y4" s="74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5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5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5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5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5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0</v>
      </c>
      <c r="O11" s="65">
        <f t="shared" ref="O11:Y11" si="3">SUM(O7:O10)</f>
        <v>0</v>
      </c>
      <c r="P11" s="65">
        <f t="shared" si="3"/>
        <v>0</v>
      </c>
      <c r="Q11" s="65">
        <f t="shared" si="3"/>
        <v>0</v>
      </c>
      <c r="R11" s="65">
        <f t="shared" si="3"/>
        <v>0</v>
      </c>
      <c r="S11" s="65">
        <f t="shared" si="3"/>
        <v>0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75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5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5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5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5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2</v>
      </c>
      <c r="M17" s="21">
        <f t="shared" ref="M17" si="13" xml:space="preserve"> SUM(M13:M16)</f>
        <v>0.5</v>
      </c>
      <c r="N17" s="47">
        <f>SUM(N13:N16)</f>
        <v>0</v>
      </c>
      <c r="O17" s="65">
        <f t="shared" ref="O17" si="14">SUM(O13:O16)</f>
        <v>0</v>
      </c>
      <c r="P17" s="65">
        <f t="shared" ref="P17" si="15">SUM(P13:P16)</f>
        <v>0</v>
      </c>
      <c r="Q17" s="65">
        <f t="shared" ref="Q17" si="16">SUM(Q13:Q16)</f>
        <v>0</v>
      </c>
      <c r="R17" s="65">
        <f t="shared" ref="R17" si="17">SUM(R13:R16)</f>
        <v>0</v>
      </c>
      <c r="S17" s="65">
        <f t="shared" ref="S17" si="18">SUM(S13:S16)</f>
        <v>0</v>
      </c>
      <c r="T17" s="65">
        <f t="shared" ref="T17" si="19">SUM(T13:T16)</f>
        <v>0</v>
      </c>
      <c r="U17" s="65">
        <f t="shared" ref="U17" si="20">SUM(U13:U16)</f>
        <v>0</v>
      </c>
      <c r="V17" s="65">
        <f t="shared" ref="V17" si="21">SUM(V13:V16)</f>
        <v>0</v>
      </c>
      <c r="W17" s="65">
        <f t="shared" ref="W17" si="22">SUM(W13:W16)</f>
        <v>0</v>
      </c>
      <c r="X17" s="65">
        <f t="shared" ref="X17" si="23">SUM(X13:X16)</f>
        <v>0</v>
      </c>
      <c r="Y17" s="65">
        <f t="shared" ref="Y17" si="24">SUM(Y13:Y16)</f>
        <v>0</v>
      </c>
    </row>
    <row r="18" spans="1:25" x14ac:dyDescent="0.25">
      <c r="M18" s="48"/>
      <c r="N18" s="49"/>
    </row>
    <row r="19" spans="1:25" x14ac:dyDescent="0.25">
      <c r="A19" s="76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25" xml:space="preserve"> D19 + E7 + E13</f>
        <v>11.5</v>
      </c>
      <c r="F19" s="25">
        <f t="shared" si="25"/>
        <v>12.5</v>
      </c>
      <c r="G19" s="25">
        <f t="shared" si="25"/>
        <v>18.5</v>
      </c>
      <c r="H19" s="25">
        <f t="shared" si="25"/>
        <v>23.5</v>
      </c>
      <c r="I19" s="25">
        <f t="shared" si="25"/>
        <v>34</v>
      </c>
      <c r="J19" s="25">
        <f t="shared" si="25"/>
        <v>45</v>
      </c>
      <c r="K19" s="25">
        <f t="shared" si="25"/>
        <v>54</v>
      </c>
      <c r="L19" s="25">
        <f t="shared" si="25"/>
        <v>60</v>
      </c>
      <c r="M19" s="25">
        <f t="shared" si="25"/>
        <v>69</v>
      </c>
      <c r="N19" s="45">
        <f t="shared" ref="N19:O22" si="26" xml:space="preserve"> M19 + N7 + N13</f>
        <v>69</v>
      </c>
      <c r="O19" s="25">
        <f t="shared" si="26"/>
        <v>69</v>
      </c>
      <c r="P19" s="25">
        <f t="shared" ref="P19:Y19" si="27" xml:space="preserve"> O19 + P7 + P13</f>
        <v>69</v>
      </c>
      <c r="Q19" s="25">
        <f t="shared" si="27"/>
        <v>69</v>
      </c>
      <c r="R19" s="25">
        <f t="shared" si="27"/>
        <v>69</v>
      </c>
      <c r="S19" s="25">
        <f t="shared" si="27"/>
        <v>69</v>
      </c>
      <c r="T19" s="25">
        <f t="shared" si="27"/>
        <v>69</v>
      </c>
      <c r="U19" s="25">
        <f t="shared" si="27"/>
        <v>69</v>
      </c>
      <c r="V19" s="25">
        <f t="shared" si="27"/>
        <v>69</v>
      </c>
      <c r="W19" s="25">
        <f t="shared" si="27"/>
        <v>69</v>
      </c>
      <c r="X19" s="25">
        <f t="shared" si="27"/>
        <v>69</v>
      </c>
      <c r="Y19" s="25">
        <f t="shared" si="27"/>
        <v>69</v>
      </c>
    </row>
    <row r="20" spans="1:25" x14ac:dyDescent="0.25">
      <c r="A20" s="76"/>
      <c r="B20" s="8" t="str">
        <f xml:space="preserve"> CONCATENATE(Setup!$B$8, ", ", LEFT(Setup!$C$8,2))</f>
        <v>Spencer, SS</v>
      </c>
      <c r="C20" s="25">
        <f t="shared" ref="C20:C22" si="28" xml:space="preserve"> C8 + C14</f>
        <v>2.66</v>
      </c>
      <c r="D20" s="25">
        <f xml:space="preserve"> C20 + D8 + D14</f>
        <v>11.66</v>
      </c>
      <c r="E20" s="25">
        <f t="shared" ref="E20:M20" si="29" xml:space="preserve"> D20 + E8 + E14</f>
        <v>17.060000000000002</v>
      </c>
      <c r="F20" s="25">
        <f t="shared" si="29"/>
        <v>23.310000000000002</v>
      </c>
      <c r="G20" s="25">
        <f t="shared" si="29"/>
        <v>26.310000000000002</v>
      </c>
      <c r="H20" s="25">
        <f t="shared" si="29"/>
        <v>28.310000000000002</v>
      </c>
      <c r="I20" s="25">
        <f t="shared" si="29"/>
        <v>40.313000000000002</v>
      </c>
      <c r="J20" s="25">
        <f t="shared" si="29"/>
        <v>51.313000000000002</v>
      </c>
      <c r="K20" s="25">
        <f t="shared" si="29"/>
        <v>59.313000000000002</v>
      </c>
      <c r="L20" s="25">
        <f t="shared" si="29"/>
        <v>61.313000000000002</v>
      </c>
      <c r="M20" s="25">
        <f t="shared" si="29"/>
        <v>67.313000000000002</v>
      </c>
      <c r="N20" s="45">
        <f t="shared" si="26"/>
        <v>67.313000000000002</v>
      </c>
      <c r="O20" s="25">
        <f t="shared" si="26"/>
        <v>67.313000000000002</v>
      </c>
      <c r="P20" s="25">
        <f t="shared" ref="P20:Y20" si="30" xml:space="preserve"> O20 + P8 + P14</f>
        <v>67.313000000000002</v>
      </c>
      <c r="Q20" s="25">
        <f t="shared" si="30"/>
        <v>67.313000000000002</v>
      </c>
      <c r="R20" s="25">
        <f t="shared" si="30"/>
        <v>67.313000000000002</v>
      </c>
      <c r="S20" s="25">
        <f t="shared" si="30"/>
        <v>67.313000000000002</v>
      </c>
      <c r="T20" s="25">
        <f t="shared" si="30"/>
        <v>67.313000000000002</v>
      </c>
      <c r="U20" s="25">
        <f t="shared" si="30"/>
        <v>67.313000000000002</v>
      </c>
      <c r="V20" s="25">
        <f t="shared" si="30"/>
        <v>67.313000000000002</v>
      </c>
      <c r="W20" s="25">
        <f t="shared" si="30"/>
        <v>67.313000000000002</v>
      </c>
      <c r="X20" s="25">
        <f t="shared" si="30"/>
        <v>67.313000000000002</v>
      </c>
      <c r="Y20" s="25">
        <f t="shared" si="30"/>
        <v>67.313000000000002</v>
      </c>
    </row>
    <row r="21" spans="1:25" x14ac:dyDescent="0.25">
      <c r="A21" s="76"/>
      <c r="B21" s="8" t="str">
        <f xml:space="preserve"> CONCATENATE(Setup!$B$9, ", ", LEFT(Setup!$C$9,2))</f>
        <v>Dylan, DW</v>
      </c>
      <c r="C21" s="25">
        <f t="shared" si="28"/>
        <v>1.25</v>
      </c>
      <c r="D21" s="25">
        <f xml:space="preserve"> C21 + D9 + D15</f>
        <v>4.25</v>
      </c>
      <c r="E21" s="25">
        <f t="shared" ref="E21:M21" si="31" xml:space="preserve"> D21 + E9 + E15</f>
        <v>13.25</v>
      </c>
      <c r="F21" s="25">
        <f t="shared" si="31"/>
        <v>16.75</v>
      </c>
      <c r="G21" s="25">
        <f t="shared" si="31"/>
        <v>18.25</v>
      </c>
      <c r="H21" s="25">
        <f t="shared" si="31"/>
        <v>23.317</v>
      </c>
      <c r="I21" s="25">
        <f t="shared" si="31"/>
        <v>28.817</v>
      </c>
      <c r="J21" s="25">
        <f t="shared" si="31"/>
        <v>34.817</v>
      </c>
      <c r="K21" s="25">
        <f t="shared" si="31"/>
        <v>39.817</v>
      </c>
      <c r="L21" s="25">
        <f t="shared" si="31"/>
        <v>41.817</v>
      </c>
      <c r="M21" s="25">
        <f t="shared" si="31"/>
        <v>42.317</v>
      </c>
      <c r="N21" s="45">
        <f t="shared" si="26"/>
        <v>42.317</v>
      </c>
      <c r="O21" s="25">
        <f t="shared" si="26"/>
        <v>42.317</v>
      </c>
      <c r="P21" s="25">
        <f t="shared" ref="P21:Y21" si="32" xml:space="preserve"> O21 + P9 + P15</f>
        <v>42.317</v>
      </c>
      <c r="Q21" s="25">
        <f t="shared" si="32"/>
        <v>42.317</v>
      </c>
      <c r="R21" s="25">
        <f t="shared" si="32"/>
        <v>42.317</v>
      </c>
      <c r="S21" s="25">
        <f t="shared" si="32"/>
        <v>42.317</v>
      </c>
      <c r="T21" s="25">
        <f t="shared" si="32"/>
        <v>42.317</v>
      </c>
      <c r="U21" s="25">
        <f t="shared" si="32"/>
        <v>42.317</v>
      </c>
      <c r="V21" s="25">
        <f t="shared" si="32"/>
        <v>42.317</v>
      </c>
      <c r="W21" s="25">
        <f t="shared" si="32"/>
        <v>42.317</v>
      </c>
      <c r="X21" s="25">
        <f t="shared" si="32"/>
        <v>42.317</v>
      </c>
      <c r="Y21" s="25">
        <f t="shared" si="32"/>
        <v>42.317</v>
      </c>
    </row>
    <row r="22" spans="1:25" x14ac:dyDescent="0.25">
      <c r="A22" s="76"/>
      <c r="B22" s="8" t="e">
        <f xml:space="preserve"> CONCATENATE(Setup!#REF!, ", ", LEFT(Setup!#REF!,2))</f>
        <v>#REF!</v>
      </c>
      <c r="C22" s="25">
        <f t="shared" si="28"/>
        <v>0</v>
      </c>
      <c r="D22" s="25">
        <f xml:space="preserve"> C22 + D10 + D16</f>
        <v>0</v>
      </c>
      <c r="E22" s="25">
        <f t="shared" ref="E22:M22" si="33" xml:space="preserve"> D22 + E10 + E16</f>
        <v>0</v>
      </c>
      <c r="F22" s="25">
        <f t="shared" si="33"/>
        <v>0</v>
      </c>
      <c r="G22" s="25">
        <f t="shared" si="33"/>
        <v>0</v>
      </c>
      <c r="H22" s="25">
        <f t="shared" si="33"/>
        <v>0</v>
      </c>
      <c r="I22" s="25">
        <f t="shared" si="33"/>
        <v>0</v>
      </c>
      <c r="J22" s="25">
        <f t="shared" si="33"/>
        <v>0</v>
      </c>
      <c r="K22" s="25">
        <f t="shared" si="33"/>
        <v>0</v>
      </c>
      <c r="L22" s="25">
        <f t="shared" si="33"/>
        <v>0</v>
      </c>
      <c r="M22" s="25">
        <f t="shared" si="33"/>
        <v>0</v>
      </c>
      <c r="N22" s="45">
        <f t="shared" si="26"/>
        <v>0</v>
      </c>
      <c r="O22" s="25">
        <f t="shared" si="26"/>
        <v>0</v>
      </c>
      <c r="P22" s="25">
        <f t="shared" ref="P22:Y22" si="34" xml:space="preserve"> O22 + P10 + P16</f>
        <v>0</v>
      </c>
      <c r="Q22" s="25">
        <f t="shared" si="34"/>
        <v>0</v>
      </c>
      <c r="R22" s="25">
        <f t="shared" si="34"/>
        <v>0</v>
      </c>
      <c r="S22" s="25">
        <f t="shared" si="34"/>
        <v>0</v>
      </c>
      <c r="T22" s="25">
        <f t="shared" si="34"/>
        <v>0</v>
      </c>
      <c r="U22" s="25">
        <f t="shared" si="34"/>
        <v>0</v>
      </c>
      <c r="V22" s="25">
        <f t="shared" si="34"/>
        <v>0</v>
      </c>
      <c r="W22" s="25">
        <f t="shared" si="34"/>
        <v>0</v>
      </c>
      <c r="X22" s="25">
        <f t="shared" si="34"/>
        <v>0</v>
      </c>
      <c r="Y22" s="25">
        <f t="shared" si="34"/>
        <v>0</v>
      </c>
    </row>
    <row r="23" spans="1:25" ht="15.75" x14ac:dyDescent="0.25">
      <c r="A23" s="76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35" xml:space="preserve"> D23 + E11 + E17</f>
        <v>41.81</v>
      </c>
      <c r="F23" s="21">
        <f t="shared" si="35"/>
        <v>52.56</v>
      </c>
      <c r="G23" s="21">
        <f t="shared" si="35"/>
        <v>63.06</v>
      </c>
      <c r="H23" s="21">
        <f t="shared" si="35"/>
        <v>75.12700000000001</v>
      </c>
      <c r="I23" s="21">
        <f t="shared" si="35"/>
        <v>103.13000000000001</v>
      </c>
      <c r="J23" s="21">
        <f t="shared" si="35"/>
        <v>131.13</v>
      </c>
      <c r="K23" s="21">
        <f t="shared" si="35"/>
        <v>153.13</v>
      </c>
      <c r="L23" s="21">
        <f t="shared" si="35"/>
        <v>163.13</v>
      </c>
      <c r="M23" s="46">
        <f t="shared" si="35"/>
        <v>178.63</v>
      </c>
      <c r="N23" s="47">
        <f t="shared" si="35"/>
        <v>178.63</v>
      </c>
      <c r="O23" s="21">
        <f t="shared" si="35"/>
        <v>178.63</v>
      </c>
      <c r="P23" s="21">
        <f t="shared" si="35"/>
        <v>178.63</v>
      </c>
      <c r="Q23" s="21">
        <f t="shared" si="35"/>
        <v>178.63</v>
      </c>
      <c r="R23" s="21">
        <f t="shared" si="35"/>
        <v>178.63</v>
      </c>
      <c r="S23" s="21">
        <f t="shared" si="35"/>
        <v>178.63</v>
      </c>
      <c r="T23" s="21">
        <f t="shared" si="35"/>
        <v>178.63</v>
      </c>
      <c r="U23" s="21">
        <f t="shared" si="35"/>
        <v>178.63</v>
      </c>
      <c r="V23" s="21">
        <f t="shared" si="35"/>
        <v>178.63</v>
      </c>
      <c r="W23" s="21">
        <f t="shared" si="35"/>
        <v>178.63</v>
      </c>
      <c r="X23" s="21">
        <f t="shared" si="35"/>
        <v>178.63</v>
      </c>
      <c r="Y23" s="21">
        <f t="shared" si="35"/>
        <v>178.63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6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36" xml:space="preserve"> D19 / D$6</f>
        <v>3.5</v>
      </c>
      <c r="E25" s="29">
        <f t="shared" si="36"/>
        <v>3.8333333333333335</v>
      </c>
      <c r="F25" s="29">
        <f t="shared" ref="F25:Y25" si="37" xml:space="preserve"> F19 / F$6</f>
        <v>3.125</v>
      </c>
      <c r="G25" s="29">
        <f t="shared" si="37"/>
        <v>3.7</v>
      </c>
      <c r="H25" s="29">
        <f t="shared" si="37"/>
        <v>3.9166666666666665</v>
      </c>
      <c r="I25" s="29">
        <f t="shared" si="37"/>
        <v>4.8571428571428568</v>
      </c>
      <c r="J25" s="29">
        <f t="shared" si="37"/>
        <v>5.625</v>
      </c>
      <c r="K25" s="29">
        <f t="shared" si="37"/>
        <v>6</v>
      </c>
      <c r="L25" s="29">
        <f t="shared" si="37"/>
        <v>6</v>
      </c>
      <c r="M25" s="50">
        <f t="shared" si="37"/>
        <v>6.2727272727272725</v>
      </c>
      <c r="N25" s="51">
        <f t="shared" si="37"/>
        <v>5.75</v>
      </c>
      <c r="O25" s="29">
        <f t="shared" si="37"/>
        <v>5.3076923076923075</v>
      </c>
      <c r="P25" s="29">
        <f t="shared" si="37"/>
        <v>4.9285714285714288</v>
      </c>
      <c r="Q25" s="29">
        <f t="shared" si="37"/>
        <v>4.5999999999999996</v>
      </c>
      <c r="R25" s="29">
        <f t="shared" si="37"/>
        <v>4.3125</v>
      </c>
      <c r="S25" s="29">
        <f t="shared" si="37"/>
        <v>4.0588235294117645</v>
      </c>
      <c r="T25" s="29">
        <f t="shared" si="37"/>
        <v>3.8333333333333335</v>
      </c>
      <c r="U25" s="29">
        <f t="shared" si="37"/>
        <v>3.6315789473684212</v>
      </c>
      <c r="V25" s="29">
        <f t="shared" si="37"/>
        <v>3.45</v>
      </c>
      <c r="W25" s="29">
        <f t="shared" si="37"/>
        <v>3.2857142857142856</v>
      </c>
      <c r="X25" s="29">
        <f t="shared" si="37"/>
        <v>3.1363636363636362</v>
      </c>
      <c r="Y25" s="29">
        <f t="shared" si="37"/>
        <v>3</v>
      </c>
    </row>
    <row r="26" spans="1:25" x14ac:dyDescent="0.25">
      <c r="A26" s="76"/>
      <c r="B26" s="8" t="str">
        <f xml:space="preserve"> CONCATENATE(Setup!$B$8, ", ", LEFT(Setup!$C$8,2))</f>
        <v>Spencer, SS</v>
      </c>
      <c r="C26" s="29">
        <f t="shared" ref="C26:E29" si="38" xml:space="preserve"> C20 / C$6</f>
        <v>2.66</v>
      </c>
      <c r="D26" s="29">
        <f t="shared" si="38"/>
        <v>5.83</v>
      </c>
      <c r="E26" s="29">
        <f t="shared" si="38"/>
        <v>5.6866666666666674</v>
      </c>
      <c r="F26" s="29">
        <f t="shared" ref="F26:Y26" si="39" xml:space="preserve"> F20 / F$6</f>
        <v>5.8275000000000006</v>
      </c>
      <c r="G26" s="29">
        <f t="shared" si="39"/>
        <v>5.2620000000000005</v>
      </c>
      <c r="H26" s="29">
        <f t="shared" si="39"/>
        <v>4.7183333333333337</v>
      </c>
      <c r="I26" s="29">
        <f t="shared" si="39"/>
        <v>5.7590000000000003</v>
      </c>
      <c r="J26" s="29">
        <f t="shared" si="39"/>
        <v>6.4141250000000003</v>
      </c>
      <c r="K26" s="29">
        <f t="shared" si="39"/>
        <v>6.5903333333333336</v>
      </c>
      <c r="L26" s="29">
        <f t="shared" si="39"/>
        <v>6.1313000000000004</v>
      </c>
      <c r="M26" s="50">
        <f t="shared" si="39"/>
        <v>6.1193636363636363</v>
      </c>
      <c r="N26" s="51">
        <f t="shared" si="39"/>
        <v>5.6094166666666672</v>
      </c>
      <c r="O26" s="29">
        <f t="shared" si="39"/>
        <v>5.1779230769230775</v>
      </c>
      <c r="P26" s="29">
        <f t="shared" si="39"/>
        <v>4.808071428571429</v>
      </c>
      <c r="Q26" s="29">
        <f t="shared" si="39"/>
        <v>4.4875333333333334</v>
      </c>
      <c r="R26" s="29">
        <f t="shared" si="39"/>
        <v>4.2070625000000001</v>
      </c>
      <c r="S26" s="29">
        <f t="shared" si="39"/>
        <v>3.9595882352941176</v>
      </c>
      <c r="T26" s="29">
        <f t="shared" si="39"/>
        <v>3.7396111111111114</v>
      </c>
      <c r="U26" s="29">
        <f t="shared" si="39"/>
        <v>3.5427894736842105</v>
      </c>
      <c r="V26" s="29">
        <f t="shared" si="39"/>
        <v>3.36565</v>
      </c>
      <c r="W26" s="29">
        <f t="shared" si="39"/>
        <v>3.2053809523809527</v>
      </c>
      <c r="X26" s="29">
        <f t="shared" si="39"/>
        <v>3.0596818181818182</v>
      </c>
      <c r="Y26" s="29">
        <f t="shared" si="39"/>
        <v>2.9266521739130438</v>
      </c>
    </row>
    <row r="27" spans="1:25" x14ac:dyDescent="0.25">
      <c r="A27" s="76"/>
      <c r="B27" s="8" t="str">
        <f xml:space="preserve"> CONCATENATE(Setup!$B$9, ", ", LEFT(Setup!$C$9,2))</f>
        <v>Dylan, DW</v>
      </c>
      <c r="C27" s="29">
        <f t="shared" si="38"/>
        <v>1.25</v>
      </c>
      <c r="D27" s="29">
        <f t="shared" si="38"/>
        <v>2.125</v>
      </c>
      <c r="E27" s="29">
        <f t="shared" si="38"/>
        <v>4.416666666666667</v>
      </c>
      <c r="F27" s="29">
        <f t="shared" ref="F27:Y27" si="40" xml:space="preserve"> F21 / F$6</f>
        <v>4.1875</v>
      </c>
      <c r="G27" s="29">
        <f t="shared" si="40"/>
        <v>3.65</v>
      </c>
      <c r="H27" s="29">
        <f t="shared" si="40"/>
        <v>3.8861666666666665</v>
      </c>
      <c r="I27" s="29">
        <f t="shared" si="40"/>
        <v>4.116714285714286</v>
      </c>
      <c r="J27" s="29">
        <f t="shared" si="40"/>
        <v>4.352125</v>
      </c>
      <c r="K27" s="29">
        <f t="shared" si="40"/>
        <v>4.4241111111111113</v>
      </c>
      <c r="L27" s="29">
        <f t="shared" si="40"/>
        <v>4.1817000000000002</v>
      </c>
      <c r="M27" s="50">
        <f t="shared" si="40"/>
        <v>3.847</v>
      </c>
      <c r="N27" s="51">
        <f t="shared" si="40"/>
        <v>3.5264166666666665</v>
      </c>
      <c r="O27" s="29">
        <f t="shared" si="40"/>
        <v>3.2551538461538461</v>
      </c>
      <c r="P27" s="29">
        <f t="shared" si="40"/>
        <v>3.022642857142857</v>
      </c>
      <c r="Q27" s="29">
        <f t="shared" si="40"/>
        <v>2.8211333333333335</v>
      </c>
      <c r="R27" s="29">
        <f t="shared" si="40"/>
        <v>2.6448125</v>
      </c>
      <c r="S27" s="29">
        <f t="shared" si="40"/>
        <v>2.489235294117647</v>
      </c>
      <c r="T27" s="29">
        <f t="shared" si="40"/>
        <v>2.3509444444444445</v>
      </c>
      <c r="U27" s="29">
        <f t="shared" si="40"/>
        <v>2.2272105263157895</v>
      </c>
      <c r="V27" s="29">
        <f t="shared" si="40"/>
        <v>2.11585</v>
      </c>
      <c r="W27" s="29">
        <f t="shared" si="40"/>
        <v>2.0150952380952383</v>
      </c>
      <c r="X27" s="29">
        <f t="shared" si="40"/>
        <v>1.9235</v>
      </c>
      <c r="Y27" s="29">
        <f t="shared" si="40"/>
        <v>1.8398695652173913</v>
      </c>
    </row>
    <row r="28" spans="1:25" x14ac:dyDescent="0.25">
      <c r="A28" s="76"/>
      <c r="B28" s="8" t="e">
        <f xml:space="preserve"> CONCATENATE(Setup!#REF!, ", ", LEFT(Setup!#REF!,2))</f>
        <v>#REF!</v>
      </c>
      <c r="C28" s="29">
        <f t="shared" si="38"/>
        <v>0</v>
      </c>
      <c r="D28" s="29">
        <f t="shared" si="38"/>
        <v>0</v>
      </c>
      <c r="E28" s="29">
        <f t="shared" si="38"/>
        <v>0</v>
      </c>
      <c r="F28" s="29">
        <f t="shared" ref="F28:Y28" si="41" xml:space="preserve"> F22 / F$6</f>
        <v>0</v>
      </c>
      <c r="G28" s="29">
        <f t="shared" si="41"/>
        <v>0</v>
      </c>
      <c r="H28" s="29">
        <f t="shared" si="41"/>
        <v>0</v>
      </c>
      <c r="I28" s="29">
        <f t="shared" si="41"/>
        <v>0</v>
      </c>
      <c r="J28" s="29">
        <f t="shared" si="41"/>
        <v>0</v>
      </c>
      <c r="K28" s="29">
        <f t="shared" si="41"/>
        <v>0</v>
      </c>
      <c r="L28" s="29">
        <f t="shared" si="41"/>
        <v>0</v>
      </c>
      <c r="M28" s="50">
        <f t="shared" si="41"/>
        <v>0</v>
      </c>
      <c r="N28" s="51">
        <f t="shared" si="41"/>
        <v>0</v>
      </c>
      <c r="O28" s="29">
        <f t="shared" si="41"/>
        <v>0</v>
      </c>
      <c r="P28" s="29">
        <f t="shared" si="41"/>
        <v>0</v>
      </c>
      <c r="Q28" s="29">
        <f t="shared" si="41"/>
        <v>0</v>
      </c>
      <c r="R28" s="29">
        <f t="shared" si="41"/>
        <v>0</v>
      </c>
      <c r="S28" s="29">
        <f t="shared" si="41"/>
        <v>0</v>
      </c>
      <c r="T28" s="29">
        <f t="shared" si="41"/>
        <v>0</v>
      </c>
      <c r="U28" s="29">
        <f t="shared" si="41"/>
        <v>0</v>
      </c>
      <c r="V28" s="29">
        <f t="shared" si="41"/>
        <v>0</v>
      </c>
      <c r="W28" s="29">
        <f t="shared" si="41"/>
        <v>0</v>
      </c>
      <c r="X28" s="29">
        <f t="shared" si="41"/>
        <v>0</v>
      </c>
      <c r="Y28" s="29">
        <f t="shared" si="41"/>
        <v>0</v>
      </c>
    </row>
    <row r="29" spans="1:25" ht="15.75" x14ac:dyDescent="0.25">
      <c r="A29" s="76"/>
      <c r="B29" s="9" t="s">
        <v>30</v>
      </c>
      <c r="C29" s="30">
        <f t="shared" si="38"/>
        <v>5.91</v>
      </c>
      <c r="D29" s="30">
        <f t="shared" si="38"/>
        <v>11.455</v>
      </c>
      <c r="E29" s="30">
        <f t="shared" si="38"/>
        <v>13.936666666666667</v>
      </c>
      <c r="F29" s="30">
        <f t="shared" ref="F29:Y29" si="42" xml:space="preserve"> F23 / F$6</f>
        <v>13.14</v>
      </c>
      <c r="G29" s="30">
        <f t="shared" si="42"/>
        <v>12.612</v>
      </c>
      <c r="H29" s="30">
        <f t="shared" si="42"/>
        <v>12.521166666666668</v>
      </c>
      <c r="I29" s="30">
        <f t="shared" si="42"/>
        <v>14.732857142857144</v>
      </c>
      <c r="J29" s="30">
        <f t="shared" si="42"/>
        <v>16.391249999999999</v>
      </c>
      <c r="K29" s="30">
        <f t="shared" si="42"/>
        <v>17.014444444444443</v>
      </c>
      <c r="L29" s="30">
        <f t="shared" si="42"/>
        <v>16.312999999999999</v>
      </c>
      <c r="M29" s="52">
        <f t="shared" si="42"/>
        <v>16.239090909090908</v>
      </c>
      <c r="N29" s="53">
        <f t="shared" si="42"/>
        <v>14.885833333333332</v>
      </c>
      <c r="O29" s="30">
        <f t="shared" si="42"/>
        <v>13.74076923076923</v>
      </c>
      <c r="P29" s="30">
        <f t="shared" si="42"/>
        <v>12.759285714285713</v>
      </c>
      <c r="Q29" s="30">
        <f t="shared" si="42"/>
        <v>11.908666666666667</v>
      </c>
      <c r="R29" s="30">
        <f t="shared" si="42"/>
        <v>11.164375</v>
      </c>
      <c r="S29" s="30">
        <f t="shared" si="42"/>
        <v>10.50764705882353</v>
      </c>
      <c r="T29" s="30">
        <f t="shared" si="42"/>
        <v>9.9238888888888894</v>
      </c>
      <c r="U29" s="30">
        <f t="shared" si="42"/>
        <v>9.4015789473684208</v>
      </c>
      <c r="V29" s="30">
        <f t="shared" si="42"/>
        <v>8.9314999999999998</v>
      </c>
      <c r="W29" s="30">
        <f t="shared" si="42"/>
        <v>8.5061904761904756</v>
      </c>
      <c r="X29" s="30">
        <f t="shared" si="42"/>
        <v>8.1195454545454542</v>
      </c>
      <c r="Y29" s="30">
        <f t="shared" si="42"/>
        <v>7.7665217391304342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7"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2</v>
      </c>
      <c r="D39" s="25">
        <f t="shared" si="19"/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t="shared" ref="D41" si="20"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2</v>
      </c>
      <c r="D45" s="25">
        <f t="shared" si="22"/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t="shared" ref="D47" si="23"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2015-12-08T00:37:54Z</dcterms:modified>
</cp:coreProperties>
</file>
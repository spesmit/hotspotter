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0" yWindow="0" windowWidth="9270" windowHeight="9420" tabRatio="893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50" l="1"/>
  <c r="C4" i="49"/>
  <c r="C4" i="48"/>
  <c r="C4" i="47"/>
  <c r="C4" i="46"/>
  <c r="C4" i="45"/>
  <c r="C4" i="44"/>
  <c r="C4" i="42"/>
  <c r="D26" i="43"/>
  <c r="L7" i="1"/>
  <c r="L19" i="1"/>
  <c r="M7" i="1"/>
  <c r="M19" i="1"/>
  <c r="N7" i="1"/>
  <c r="N19" i="1"/>
  <c r="O7" i="1"/>
  <c r="O19" i="1"/>
  <c r="P19" i="1"/>
  <c r="Q19" i="1"/>
  <c r="R19" i="1"/>
  <c r="S19" i="1"/>
  <c r="T19" i="1"/>
  <c r="U19" i="1"/>
  <c r="V19" i="1"/>
  <c r="W19" i="1"/>
  <c r="X19" i="1"/>
  <c r="Y19" i="1"/>
  <c r="L8" i="1"/>
  <c r="L20" i="1"/>
  <c r="M8" i="1"/>
  <c r="M20" i="1"/>
  <c r="N8" i="1"/>
  <c r="N20" i="1"/>
  <c r="O8" i="1"/>
  <c r="O20" i="1"/>
  <c r="P20" i="1"/>
  <c r="Q20" i="1"/>
  <c r="R20" i="1"/>
  <c r="S20" i="1"/>
  <c r="T20" i="1"/>
  <c r="U20" i="1"/>
  <c r="V20" i="1"/>
  <c r="W20" i="1"/>
  <c r="X20" i="1"/>
  <c r="Y20" i="1"/>
  <c r="M9" i="1"/>
  <c r="M15" i="1"/>
  <c r="L15" i="1"/>
  <c r="L21" i="1"/>
  <c r="M21" i="1"/>
  <c r="N9" i="1"/>
  <c r="N21" i="1"/>
  <c r="O9" i="1"/>
  <c r="O21" i="1"/>
  <c r="P21" i="1"/>
  <c r="Q21" i="1"/>
  <c r="R21" i="1"/>
  <c r="S21" i="1"/>
  <c r="T21" i="1"/>
  <c r="U21" i="1"/>
  <c r="V21" i="1"/>
  <c r="W21" i="1"/>
  <c r="X21" i="1"/>
  <c r="Y21" i="1"/>
  <c r="P22" i="1"/>
  <c r="Q22" i="1"/>
  <c r="R22" i="1"/>
  <c r="S22" i="1"/>
  <c r="T22" i="1"/>
  <c r="U22" i="1"/>
  <c r="V22" i="1"/>
  <c r="W22" i="1"/>
  <c r="X22" i="1"/>
  <c r="Y22" i="1"/>
  <c r="O22" i="1"/>
  <c r="N22" i="1"/>
  <c r="E19" i="1"/>
  <c r="F19" i="1"/>
  <c r="G19" i="1"/>
  <c r="H19" i="1"/>
  <c r="I19" i="1"/>
  <c r="J19" i="1"/>
  <c r="K19" i="1"/>
  <c r="E20" i="1"/>
  <c r="F20" i="1"/>
  <c r="G20" i="1"/>
  <c r="H20" i="1"/>
  <c r="I20" i="1"/>
  <c r="J20" i="1"/>
  <c r="K20" i="1"/>
  <c r="E21" i="1"/>
  <c r="F21" i="1"/>
  <c r="G21" i="1"/>
  <c r="H21" i="1"/>
  <c r="I21" i="1"/>
  <c r="J21" i="1"/>
  <c r="K21" i="1"/>
  <c r="E22" i="1"/>
  <c r="F22" i="1"/>
  <c r="G22" i="1"/>
  <c r="H22" i="1"/>
  <c r="I22" i="1"/>
  <c r="J22" i="1"/>
  <c r="K22" i="1"/>
  <c r="L22" i="1"/>
  <c r="M22" i="1"/>
  <c r="D22" i="1"/>
  <c r="D21" i="1"/>
  <c r="D20" i="1"/>
  <c r="D19" i="1"/>
  <c r="C4" i="43"/>
  <c r="C4" i="2"/>
  <c r="B2" i="43"/>
  <c r="B2" i="42"/>
  <c r="C4" i="15"/>
  <c r="D4" i="42"/>
  <c r="F8" i="1"/>
  <c r="F9" i="1"/>
  <c r="F10" i="1"/>
  <c r="B9" i="43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10" i="1"/>
  <c r="N11" i="1"/>
  <c r="O10" i="1"/>
  <c r="L14" i="1"/>
  <c r="M14" i="1"/>
  <c r="L16" i="1"/>
  <c r="M16" i="1"/>
  <c r="M13" i="1"/>
  <c r="M17" i="1"/>
  <c r="L13" i="1"/>
  <c r="L9" i="1"/>
  <c r="M10" i="1"/>
  <c r="M11" i="1"/>
  <c r="L10" i="1"/>
  <c r="J14" i="1"/>
  <c r="K14" i="1"/>
  <c r="J15" i="1"/>
  <c r="K15" i="1"/>
  <c r="J16" i="1"/>
  <c r="K16" i="1"/>
  <c r="K13" i="1"/>
  <c r="K17" i="1"/>
  <c r="J13" i="1"/>
  <c r="J17" i="1"/>
  <c r="J8" i="1"/>
  <c r="K8" i="1"/>
  <c r="J9" i="1"/>
  <c r="K9" i="1"/>
  <c r="J10" i="1"/>
  <c r="K10" i="1"/>
  <c r="K7" i="1"/>
  <c r="J7" i="1"/>
  <c r="H14" i="1"/>
  <c r="I14" i="1"/>
  <c r="H15" i="1"/>
  <c r="I15" i="1"/>
  <c r="H16" i="1"/>
  <c r="H13" i="1"/>
  <c r="H17" i="1"/>
  <c r="I16" i="1"/>
  <c r="I13" i="1"/>
  <c r="H8" i="1"/>
  <c r="I8" i="1"/>
  <c r="H9" i="1"/>
  <c r="I9" i="1"/>
  <c r="I7" i="1"/>
  <c r="I10" i="1"/>
  <c r="I11" i="1"/>
  <c r="H10" i="1"/>
  <c r="H7" i="1"/>
  <c r="H11" i="1"/>
  <c r="F14" i="1"/>
  <c r="G14" i="1"/>
  <c r="F15" i="1"/>
  <c r="G15" i="1"/>
  <c r="G13" i="1"/>
  <c r="G16" i="1"/>
  <c r="G17" i="1"/>
  <c r="F16" i="1"/>
  <c r="F13" i="1"/>
  <c r="F17" i="1"/>
  <c r="G8" i="1"/>
  <c r="G9" i="1"/>
  <c r="G10" i="1"/>
  <c r="G7" i="1"/>
  <c r="F7" i="1"/>
  <c r="C14" i="1"/>
  <c r="D14" i="1"/>
  <c r="E14" i="1"/>
  <c r="C15" i="1"/>
  <c r="D15" i="1"/>
  <c r="E15" i="1"/>
  <c r="E13" i="1"/>
  <c r="E16" i="1"/>
  <c r="E17" i="1"/>
  <c r="C16" i="1"/>
  <c r="C13" i="1"/>
  <c r="C17" i="1"/>
  <c r="D16" i="1"/>
  <c r="D13" i="1"/>
  <c r="E8" i="1"/>
  <c r="E9" i="1"/>
  <c r="E10" i="1"/>
  <c r="E7" i="1"/>
  <c r="D8" i="1"/>
  <c r="D9" i="1"/>
  <c r="D10" i="1"/>
  <c r="D7" i="1"/>
  <c r="C8" i="1"/>
  <c r="C20" i="1"/>
  <c r="C9" i="1"/>
  <c r="C21" i="1"/>
  <c r="C10" i="1"/>
  <c r="C22" i="1"/>
  <c r="C7" i="1"/>
  <c r="C19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C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C31" i="43"/>
  <c r="C31" i="49"/>
  <c r="C30" i="50"/>
  <c r="C16" i="50"/>
  <c r="C31" i="45"/>
  <c r="C31" i="47"/>
  <c r="C16" i="42"/>
  <c r="C33" i="42"/>
  <c r="C16" i="43"/>
  <c r="C32" i="45"/>
  <c r="C28" i="46"/>
  <c r="D17" i="1"/>
  <c r="V17" i="1"/>
  <c r="R17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G11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<sst xmlns="http://schemas.openxmlformats.org/spreadsheetml/2006/main" count="294" uniqueCount="52">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</sst>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</c:v>
                </c:pt>
                <c:pt idx="8">
                  <c:v>22</c:v>
                </c:pt>
                <c:pt idx="9">
                  <c:v>8</c:v>
                </c:pt>
                <c:pt idx="10">
                  <c:v>15</c:v>
                </c:pt>
                <c:pt idx="11">
                  <c:v>23.5</c:v>
                </c:pt>
                <c:pt idx="12">
                  <c:v>23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7495408"/>
        <c:axId val="-35748779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16.391249999999999</c:v>
                </c:pt>
                <c:pt idx="8">
                  <c:v>17.014444444444443</c:v>
                </c:pt>
                <c:pt idx="9">
                  <c:v>16.312999999999999</c:v>
                </c:pt>
                <c:pt idx="10">
                  <c:v>16.239090909090908</c:v>
                </c:pt>
                <c:pt idx="11">
                  <c:v>16.844166666666666</c:v>
                </c:pt>
                <c:pt idx="12">
                  <c:v>17.317692307692308</c:v>
                </c:pt>
                <c:pt idx="13">
                  <c:v>16.080714285714286</c:v>
                </c:pt>
                <c:pt idx="14">
                  <c:v>15.008666666666667</c:v>
                </c:pt>
                <c:pt idx="15">
                  <c:v>14.070625</c:v>
                </c:pt>
                <c:pt idx="16">
                  <c:v>13.242941176470588</c:v>
                </c:pt>
                <c:pt idx="17">
                  <c:v>12.507222222222222</c:v>
                </c:pt>
                <c:pt idx="18">
                  <c:v>11.848947368421053</c:v>
                </c:pt>
                <c:pt idx="19">
                  <c:v>11.256499999999999</c:v>
                </c:pt>
                <c:pt idx="20">
                  <c:v>10.720476190476191</c:v>
                </c:pt>
                <c:pt idx="21">
                  <c:v>10.233181818181817</c:v>
                </c:pt>
                <c:pt idx="22">
                  <c:v>9.7882608695652173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7495408"/>
        <c:axId val="-357487792"/>
      </c:lineChart>
      <c:catAx>
        <c:axId val="-35749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7487792"/>
        <c:crosses val="autoZero"/>
        <c:auto val="0"/>
        <c:lblAlgn val="ctr"/>
        <c:lblOffset val="100"/>
        <c:noMultiLvlLbl val="0"/>
      </c:catAx>
      <c:valAx>
        <c:axId val="-357487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7495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11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1.5</c:v>
                </c:pt>
                <c:pt idx="12">
                  <c:v>12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7492144"/>
        <c:axId val="-35749160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3.5</c:v>
                </c:pt>
                <c:pt idx="2">
                  <c:v>3.8333333333333335</c:v>
                </c:pt>
                <c:pt idx="3">
                  <c:v>3.125</c:v>
                </c:pt>
                <c:pt idx="4">
                  <c:v>3.7</c:v>
                </c:pt>
                <c:pt idx="5">
                  <c:v>3.9166666666666665</c:v>
                </c:pt>
                <c:pt idx="6">
                  <c:v>4.8571428571428568</c:v>
                </c:pt>
                <c:pt idx="7">
                  <c:v>5.625</c:v>
                </c:pt>
                <c:pt idx="8">
                  <c:v>6</c:v>
                </c:pt>
                <c:pt idx="9">
                  <c:v>6</c:v>
                </c:pt>
                <c:pt idx="10">
                  <c:v>6.2727272727272725</c:v>
                </c:pt>
                <c:pt idx="11">
                  <c:v>5.875</c:v>
                </c:pt>
                <c:pt idx="12">
                  <c:v>6.3461538461538458</c:v>
                </c:pt>
                <c:pt idx="13">
                  <c:v>5.8928571428571432</c:v>
                </c:pt>
                <c:pt idx="14">
                  <c:v>5.5</c:v>
                </c:pt>
                <c:pt idx="15">
                  <c:v>5.15625</c:v>
                </c:pt>
                <c:pt idx="16">
                  <c:v>4.8529411764705879</c:v>
                </c:pt>
                <c:pt idx="17">
                  <c:v>4.583333333333333</c:v>
                </c:pt>
                <c:pt idx="18">
                  <c:v>4.3421052631578947</c:v>
                </c:pt>
                <c:pt idx="19">
                  <c:v>4.125</c:v>
                </c:pt>
                <c:pt idx="20">
                  <c:v>3.9285714285714284</c:v>
                </c:pt>
                <c:pt idx="21">
                  <c:v>3.75</c:v>
                </c:pt>
                <c:pt idx="22">
                  <c:v>3.5869565217391304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7492144"/>
        <c:axId val="-357491600"/>
      </c:lineChart>
      <c:catAx>
        <c:axId val="-357492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7491600"/>
        <c:crosses val="autoZero"/>
        <c:auto val="0"/>
        <c:lblAlgn val="ctr"/>
        <c:lblOffset val="100"/>
        <c:noMultiLvlLbl val="0"/>
      </c:catAx>
      <c:valAx>
        <c:axId val="-357491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74921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11</c:v>
                </c:pt>
                <c:pt idx="8">
                  <c:v>8</c:v>
                </c:pt>
                <c:pt idx="9">
                  <c:v>2</c:v>
                </c:pt>
                <c:pt idx="10">
                  <c:v>6</c:v>
                </c:pt>
                <c:pt idx="11">
                  <c:v>10</c:v>
                </c:pt>
                <c:pt idx="12">
                  <c:v>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1824688"/>
        <c:axId val="-23182360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5.83</c:v>
                </c:pt>
                <c:pt idx="2">
                  <c:v>5.6866666666666674</c:v>
                </c:pt>
                <c:pt idx="3">
                  <c:v>5.8275000000000006</c:v>
                </c:pt>
                <c:pt idx="4">
                  <c:v>5.2620000000000005</c:v>
                </c:pt>
                <c:pt idx="5">
                  <c:v>4.7183333333333337</c:v>
                </c:pt>
                <c:pt idx="6">
                  <c:v>5.7590000000000003</c:v>
                </c:pt>
                <c:pt idx="7">
                  <c:v>6.4141250000000003</c:v>
                </c:pt>
                <c:pt idx="8">
                  <c:v>6.5903333333333336</c:v>
                </c:pt>
                <c:pt idx="9">
                  <c:v>6.1313000000000004</c:v>
                </c:pt>
                <c:pt idx="10">
                  <c:v>6.1193636363636363</c:v>
                </c:pt>
                <c:pt idx="11">
                  <c:v>6.4427500000000002</c:v>
                </c:pt>
                <c:pt idx="12">
                  <c:v>6.4086923076923075</c:v>
                </c:pt>
                <c:pt idx="13">
                  <c:v>5.9509285714285713</c:v>
                </c:pt>
                <c:pt idx="14">
                  <c:v>5.5541999999999998</c:v>
                </c:pt>
                <c:pt idx="15">
                  <c:v>5.2070625000000001</c:v>
                </c:pt>
                <c:pt idx="16">
                  <c:v>4.9007647058823531</c:v>
                </c:pt>
                <c:pt idx="17">
                  <c:v>4.6284999999999998</c:v>
                </c:pt>
                <c:pt idx="18">
                  <c:v>4.3848947368421056</c:v>
                </c:pt>
                <c:pt idx="19">
                  <c:v>4.1656500000000003</c:v>
                </c:pt>
                <c:pt idx="20">
                  <c:v>3.9672857142857145</c:v>
                </c:pt>
                <c:pt idx="21">
                  <c:v>3.7869545454545457</c:v>
                </c:pt>
                <c:pt idx="22">
                  <c:v>3.6223043478260872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1824688"/>
        <c:axId val="-231823600"/>
      </c:lineChart>
      <c:catAx>
        <c:axId val="-231824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823600"/>
        <c:crosses val="autoZero"/>
        <c:auto val="0"/>
        <c:lblAlgn val="ctr"/>
        <c:lblOffset val="100"/>
        <c:noMultiLvlLbl val="0"/>
      </c:catAx>
      <c:valAx>
        <c:axId val="-231823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824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12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1822512"/>
        <c:axId val="-23182196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2.125</c:v>
                </c:pt>
                <c:pt idx="2">
                  <c:v>4.416666666666667</c:v>
                </c:pt>
                <c:pt idx="3">
                  <c:v>4.1875</c:v>
                </c:pt>
                <c:pt idx="4">
                  <c:v>3.65</c:v>
                </c:pt>
                <c:pt idx="5">
                  <c:v>3.8861666666666665</c:v>
                </c:pt>
                <c:pt idx="6">
                  <c:v>4.116714285714286</c:v>
                </c:pt>
                <c:pt idx="7">
                  <c:v>4.352125</c:v>
                </c:pt>
                <c:pt idx="8">
                  <c:v>4.4241111111111113</c:v>
                </c:pt>
                <c:pt idx="9">
                  <c:v>4.1817000000000002</c:v>
                </c:pt>
                <c:pt idx="10">
                  <c:v>3.847</c:v>
                </c:pt>
                <c:pt idx="11">
                  <c:v>4.526416666666667</c:v>
                </c:pt>
                <c:pt idx="12">
                  <c:v>4.562846153846154</c:v>
                </c:pt>
                <c:pt idx="13">
                  <c:v>4.2369285714285718</c:v>
                </c:pt>
                <c:pt idx="14">
                  <c:v>3.9544666666666668</c:v>
                </c:pt>
                <c:pt idx="15">
                  <c:v>3.7073125</c:v>
                </c:pt>
                <c:pt idx="16">
                  <c:v>3.489235294117647</c:v>
                </c:pt>
                <c:pt idx="17">
                  <c:v>3.2953888888888887</c:v>
                </c:pt>
                <c:pt idx="18">
                  <c:v>3.1219473684210528</c:v>
                </c:pt>
                <c:pt idx="19">
                  <c:v>2.9658500000000001</c:v>
                </c:pt>
                <c:pt idx="20">
                  <c:v>2.8246190476190476</c:v>
                </c:pt>
                <c:pt idx="21">
                  <c:v>2.6962272727272727</c:v>
                </c:pt>
                <c:pt idx="22">
                  <c:v>2.5790000000000002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1822512"/>
        <c:axId val="-231821968"/>
      </c:lineChart>
      <c:catAx>
        <c:axId val="-23182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821968"/>
        <c:crosses val="autoZero"/>
        <c:auto val="0"/>
        <c:lblAlgn val="ctr"/>
        <c:lblOffset val="100"/>
        <c:noMultiLvlLbl val="0"/>
      </c:catAx>
      <c:valAx>
        <c:axId val="-2318219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8225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1827952"/>
        <c:axId val="-23182740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1827952"/>
        <c:axId val="-231827408"/>
      </c:lineChart>
      <c:catAx>
        <c:axId val="-2318279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827408"/>
        <c:crosses val="autoZero"/>
        <c:auto val="0"/>
        <c:lblAlgn val="ctr"/>
        <c:lblOffset val="100"/>
        <c:noMultiLvlLbl val="0"/>
      </c:catAx>
      <c:valAx>
        <c:axId val="-2318274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8279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2131296"/>
        <c:axId val="-23212422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2131296"/>
        <c:axId val="-232124224"/>
      </c:lineChart>
      <c:catAx>
        <c:axId val="-232131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124224"/>
        <c:crosses val="autoZero"/>
        <c:auto val="1"/>
        <c:lblAlgn val="ctr"/>
        <c:lblOffset val="100"/>
        <c:noMultiLvlLbl val="1"/>
      </c:catAx>
      <c:valAx>
        <c:axId val="-23212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13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2125312"/>
        <c:axId val="-23213075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2125312"/>
        <c:axId val="-232130752"/>
      </c:lineChart>
      <c:catAx>
        <c:axId val="-232125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130752"/>
        <c:crosses val="autoZero"/>
        <c:auto val="1"/>
        <c:lblAlgn val="ctr"/>
        <c:lblOffset val="100"/>
        <c:noMultiLvlLbl val="1"/>
      </c:catAx>
      <c:valAx>
        <c:axId val="-2321307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125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2129664"/>
        <c:axId val="-232128032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2129664"/>
        <c:axId val="-232128032"/>
      </c:lineChart>
      <c:catAx>
        <c:axId val="-232129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128032"/>
        <c:crosses val="autoZero"/>
        <c:auto val="1"/>
        <c:lblAlgn val="ctr"/>
        <c:lblOffset val="100"/>
        <c:noMultiLvlLbl val="1"/>
      </c:catAx>
      <c:valAx>
        <c:axId val="-2321280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129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2128576"/>
        <c:axId val="-23212694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2128576"/>
        <c:axId val="-232126944"/>
      </c:lineChart>
      <c:catAx>
        <c:axId val="-23212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126944"/>
        <c:crosses val="autoZero"/>
        <c:auto val="1"/>
        <c:lblAlgn val="ctr"/>
        <c:lblOffset val="100"/>
        <c:noMultiLvlLbl val="1"/>
      </c:catAx>
      <c:valAx>
        <c:axId val="-232126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1285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1378192"/>
        <c:axId val="-23137656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1378192"/>
        <c:axId val="-231376560"/>
      </c:lineChart>
      <c:catAx>
        <c:axId val="-231378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376560"/>
        <c:crosses val="autoZero"/>
        <c:auto val="1"/>
        <c:lblAlgn val="ctr"/>
        <c:lblOffset val="100"/>
        <c:noMultiLvlLbl val="1"/>
      </c:catAx>
      <c:valAx>
        <c:axId val="-2313765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3781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1377648"/>
        <c:axId val="-231379824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1377648"/>
        <c:axId val="-231379824"/>
      </c:lineChart>
      <c:catAx>
        <c:axId val="-23137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379824"/>
        <c:crosses val="autoZero"/>
        <c:auto val="0"/>
        <c:lblAlgn val="ctr"/>
        <c:lblOffset val="100"/>
        <c:noMultiLvlLbl val="1"/>
      </c:catAx>
      <c:valAx>
        <c:axId val="-23137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37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1383088"/>
        <c:axId val="-23137928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1383088"/>
        <c:axId val="-231379280"/>
      </c:lineChart>
      <c:catAx>
        <c:axId val="-23138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379280"/>
        <c:crosses val="autoZero"/>
        <c:auto val="1"/>
        <c:lblAlgn val="ctr"/>
        <c:lblOffset val="100"/>
        <c:noMultiLvlLbl val="1"/>
      </c:catAx>
      <c:valAx>
        <c:axId val="-231379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13830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4679616"/>
        <c:axId val="-354679072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4679616"/>
        <c:axId val="-354679072"/>
      </c:lineChart>
      <c:catAx>
        <c:axId val="-3546796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4679072"/>
        <c:crosses val="autoZero"/>
        <c:auto val="1"/>
        <c:lblAlgn val="ctr"/>
        <c:lblOffset val="100"/>
        <c:noMultiLvlLbl val="1"/>
      </c:catAx>
      <c:valAx>
        <c:axId val="-3546790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46796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4683424"/>
        <c:axId val="-35468288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4683424"/>
        <c:axId val="-354682880"/>
      </c:lineChart>
      <c:catAx>
        <c:axId val="-354683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4682880"/>
        <c:crosses val="autoZero"/>
        <c:auto val="1"/>
        <c:lblAlgn val="ctr"/>
        <c:lblOffset val="100"/>
        <c:noMultiLvlLbl val="1"/>
      </c:catAx>
      <c:valAx>
        <c:axId val="-354682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46834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4677984"/>
        <c:axId val="-35468233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4677984"/>
        <c:axId val="-354682336"/>
      </c:lineChart>
      <c:catAx>
        <c:axId val="-354677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4682336"/>
        <c:crosses val="autoZero"/>
        <c:auto val="1"/>
        <c:lblAlgn val="ctr"/>
        <c:lblOffset val="100"/>
        <c:noMultiLvlLbl val="1"/>
      </c:catAx>
      <c:valAx>
        <c:axId val="-3546823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4677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354681792"/>
        <c:axId val="-354680160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354681792"/>
        <c:axId val="-354680160"/>
      </c:lineChart>
      <c:catAx>
        <c:axId val="-354681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4680160"/>
        <c:crosses val="autoZero"/>
        <c:auto val="0"/>
        <c:lblAlgn val="ctr"/>
        <c:lblOffset val="100"/>
        <c:noMultiLvlLbl val="1"/>
      </c:catAx>
      <c:valAx>
        <c:axId val="-35468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54681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0582512"/>
        <c:axId val="-23058849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0582512"/>
        <c:axId val="-230588496"/>
      </c:lineChart>
      <c:catAx>
        <c:axId val="-230582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0588496"/>
        <c:crosses val="autoZero"/>
        <c:auto val="1"/>
        <c:lblAlgn val="ctr"/>
        <c:lblOffset val="100"/>
        <c:noMultiLvlLbl val="1"/>
      </c:catAx>
      <c:valAx>
        <c:axId val="-230588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05825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0587408"/>
        <c:axId val="-23058632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0587408"/>
        <c:axId val="-230586320"/>
      </c:lineChart>
      <c:catAx>
        <c:axId val="-230587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0586320"/>
        <c:crosses val="autoZero"/>
        <c:auto val="1"/>
        <c:lblAlgn val="ctr"/>
        <c:lblOffset val="100"/>
        <c:noMultiLvlLbl val="1"/>
      </c:catAx>
      <c:valAx>
        <c:axId val="-2305863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05874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0584688"/>
        <c:axId val="-23058414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0584688"/>
        <c:axId val="-230584144"/>
      </c:lineChart>
      <c:catAx>
        <c:axId val="-230584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0584144"/>
        <c:crosses val="autoZero"/>
        <c:auto val="1"/>
        <c:lblAlgn val="ctr"/>
        <c:lblOffset val="100"/>
        <c:noMultiLvlLbl val="1"/>
      </c:catAx>
      <c:valAx>
        <c:axId val="-230584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05846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29837856"/>
        <c:axId val="-229841664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9837856"/>
        <c:axId val="-229841664"/>
      </c:lineChart>
      <c:catAx>
        <c:axId val="-2298378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9841664"/>
        <c:crosses val="autoZero"/>
        <c:auto val="1"/>
        <c:lblAlgn val="ctr"/>
        <c:lblOffset val="100"/>
        <c:noMultiLvlLbl val="1"/>
      </c:catAx>
      <c:valAx>
        <c:axId val="-229841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98378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29841120"/>
        <c:axId val="-229836768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</c:v>
                </c:pt>
                <c:pt idx="2">
                  <c:v>4.3333333333333339</c:v>
                </c:pt>
                <c:pt idx="3">
                  <c:v>3.25</c:v>
                </c:pt>
                <c:pt idx="4">
                  <c:v>3.4000000000000004</c:v>
                </c:pt>
                <c:pt idx="5">
                  <c:v>3.166666666666667</c:v>
                </c:pt>
                <c:pt idx="6">
                  <c:v>4</c:v>
                </c:pt>
                <c:pt idx="7">
                  <c:v>4</c:v>
                </c:pt>
                <c:pt idx="8">
                  <c:v>4.2222222222222223</c:v>
                </c:pt>
                <c:pt idx="9">
                  <c:v>4.3000000000000007</c:v>
                </c:pt>
                <c:pt idx="10">
                  <c:v>3.9090909090909092</c:v>
                </c:pt>
                <c:pt idx="11">
                  <c:v>3.583333333333333</c:v>
                </c:pt>
                <c:pt idx="12">
                  <c:v>3.4615384615384617</c:v>
                </c:pt>
                <c:pt idx="13">
                  <c:v>3.5714285714285712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9841120"/>
        <c:axId val="-229836768"/>
      </c:lineChart>
      <c:catAx>
        <c:axId val="-22984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9836768"/>
        <c:crosses val="autoZero"/>
        <c:auto val="0"/>
        <c:lblAlgn val="ctr"/>
        <c:lblOffset val="100"/>
        <c:noMultiLvlLbl val="1"/>
      </c:catAx>
      <c:valAx>
        <c:axId val="-22983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9841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29836224"/>
        <c:axId val="-22983894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1.5714285714285714</c:v>
                </c:pt>
                <c:pt idx="7">
                  <c:v>1.75</c:v>
                </c:pt>
                <c:pt idx="8">
                  <c:v>1.6666666666666667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1.4285714285714286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9836224"/>
        <c:axId val="-229838944"/>
      </c:lineChart>
      <c:catAx>
        <c:axId val="-2298362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9838944"/>
        <c:crosses val="autoZero"/>
        <c:auto val="1"/>
        <c:lblAlgn val="ctr"/>
        <c:lblOffset val="100"/>
        <c:noMultiLvlLbl val="1"/>
      </c:catAx>
      <c:valAx>
        <c:axId val="-229838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98362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29840576"/>
        <c:axId val="-22984220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2.5</c:v>
                </c:pt>
                <c:pt idx="2">
                  <c:v>1.6666666666666667</c:v>
                </c:pt>
                <c:pt idx="3">
                  <c:v>1.25</c:v>
                </c:pt>
                <c:pt idx="4">
                  <c:v>1</c:v>
                </c:pt>
                <c:pt idx="5">
                  <c:v>1.1666666666666667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9840576"/>
        <c:axId val="-229842208"/>
      </c:lineChart>
      <c:catAx>
        <c:axId val="-22984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9842208"/>
        <c:crosses val="autoZero"/>
        <c:auto val="1"/>
        <c:lblAlgn val="ctr"/>
        <c:lblOffset val="100"/>
        <c:noMultiLvlLbl val="1"/>
      </c:catAx>
      <c:valAx>
        <c:axId val="-2298422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98405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2938976"/>
        <c:axId val="-232934080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0.9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2938976"/>
        <c:axId val="-232934080"/>
      </c:lineChart>
      <c:catAx>
        <c:axId val="-232938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34080"/>
        <c:crosses val="autoZero"/>
        <c:auto val="1"/>
        <c:lblAlgn val="ctr"/>
        <c:lblOffset val="100"/>
        <c:noMultiLvlLbl val="1"/>
      </c:catAx>
      <c:valAx>
        <c:axId val="-232934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389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2929184"/>
        <c:axId val="-23292700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2929184"/>
        <c:axId val="-232927008"/>
      </c:lineChart>
      <c:catAx>
        <c:axId val="-2329291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27008"/>
        <c:crosses val="autoZero"/>
        <c:auto val="1"/>
        <c:lblAlgn val="ctr"/>
        <c:lblOffset val="100"/>
        <c:noMultiLvlLbl val="1"/>
      </c:catAx>
      <c:valAx>
        <c:axId val="-232927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291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2937344"/>
        <c:axId val="-232931904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1.4285714285714284</c:v>
                </c:pt>
                <c:pt idx="7">
                  <c:v>2.375</c:v>
                </c:pt>
                <c:pt idx="8">
                  <c:v>2.5555555555555558</c:v>
                </c:pt>
                <c:pt idx="9">
                  <c:v>2.5499999999999998</c:v>
                </c:pt>
                <c:pt idx="10">
                  <c:v>2.3181818181818179</c:v>
                </c:pt>
                <c:pt idx="11">
                  <c:v>2.125</c:v>
                </c:pt>
                <c:pt idx="12">
                  <c:v>1.9615384615384615</c:v>
                </c:pt>
                <c:pt idx="13">
                  <c:v>1.8214285714285714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2937344"/>
        <c:axId val="-232931904"/>
      </c:lineChart>
      <c:catAx>
        <c:axId val="-23293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31904"/>
        <c:crosses val="autoZero"/>
        <c:auto val="0"/>
        <c:lblAlgn val="ctr"/>
        <c:lblOffset val="100"/>
        <c:noMultiLvlLbl val="1"/>
      </c:catAx>
      <c:valAx>
        <c:axId val="-23293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37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2936800"/>
        <c:axId val="-23293027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0.8571428571428571</c:v>
                </c:pt>
                <c:pt idx="7">
                  <c:v>1.375</c:v>
                </c:pt>
                <c:pt idx="8">
                  <c:v>1.6666666666666667</c:v>
                </c:pt>
                <c:pt idx="9">
                  <c:v>1.5</c:v>
                </c:pt>
                <c:pt idx="10">
                  <c:v>1.3636363636363635</c:v>
                </c:pt>
                <c:pt idx="11">
                  <c:v>1.25</c:v>
                </c:pt>
                <c:pt idx="12">
                  <c:v>1.1538461538461537</c:v>
                </c:pt>
                <c:pt idx="13">
                  <c:v>1.0714285714285714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2936800"/>
        <c:axId val="-232930272"/>
      </c:lineChart>
      <c:catAx>
        <c:axId val="-232936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30272"/>
        <c:crosses val="autoZero"/>
        <c:auto val="1"/>
        <c:lblAlgn val="ctr"/>
        <c:lblOffset val="100"/>
        <c:noMultiLvlLbl val="1"/>
      </c:catAx>
      <c:valAx>
        <c:axId val="-232930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368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2936256"/>
        <c:axId val="-232935168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0.8</c:v>
                </c:pt>
                <c:pt idx="10">
                  <c:v>0.72727272727272729</c:v>
                </c:pt>
                <c:pt idx="11">
                  <c:v>0.66666666666666663</c:v>
                </c:pt>
                <c:pt idx="12">
                  <c:v>0.61538461538461542</c:v>
                </c:pt>
                <c:pt idx="13">
                  <c:v>0.5714285714285714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2936256"/>
        <c:axId val="-232935168"/>
      </c:lineChart>
      <c:catAx>
        <c:axId val="-232936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35168"/>
        <c:crosses val="autoZero"/>
        <c:auto val="1"/>
        <c:lblAlgn val="ctr"/>
        <c:lblOffset val="100"/>
        <c:noMultiLvlLbl val="1"/>
      </c:catAx>
      <c:valAx>
        <c:axId val="-232935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36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2940608"/>
        <c:axId val="-23293353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0.22727272727272727</c:v>
                </c:pt>
                <c:pt idx="11">
                  <c:v>0.20833333333333334</c:v>
                </c:pt>
                <c:pt idx="12">
                  <c:v>0.19230769230769232</c:v>
                </c:pt>
                <c:pt idx="13">
                  <c:v>0.17857142857142858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2940608"/>
        <c:axId val="-232933536"/>
      </c:lineChart>
      <c:catAx>
        <c:axId val="-232940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33536"/>
        <c:crosses val="autoZero"/>
        <c:auto val="1"/>
        <c:lblAlgn val="ctr"/>
        <c:lblOffset val="100"/>
        <c:noMultiLvlLbl val="1"/>
      </c:catAx>
      <c:valAx>
        <c:axId val="-232933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40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32930816"/>
        <c:axId val="-232928640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32930816"/>
        <c:axId val="-232928640"/>
      </c:lineChart>
      <c:catAx>
        <c:axId val="-232930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28640"/>
        <c:crosses val="autoZero"/>
        <c:auto val="1"/>
        <c:lblAlgn val="ctr"/>
        <c:lblOffset val="100"/>
        <c:noMultiLvlLbl val="1"/>
      </c:catAx>
      <c:valAx>
        <c:axId val="-2329286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329308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7.5</c:v>
                </c:pt>
                <c:pt idx="3">
                  <c:v>9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28279584"/>
        <c:axId val="-228276864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4.125</c:v>
                </c:pt>
                <c:pt idx="4">
                  <c:v>3.3</c:v>
                </c:pt>
                <c:pt idx="5">
                  <c:v>3.416666666666667</c:v>
                </c:pt>
                <c:pt idx="6">
                  <c:v>3.3571428571428568</c:v>
                </c:pt>
                <c:pt idx="7">
                  <c:v>3.3125</c:v>
                </c:pt>
                <c:pt idx="8">
                  <c:v>3.166666666666667</c:v>
                </c:pt>
                <c:pt idx="9">
                  <c:v>3.15</c:v>
                </c:pt>
                <c:pt idx="10">
                  <c:v>3.2272727272727275</c:v>
                </c:pt>
                <c:pt idx="11">
                  <c:v>3.125</c:v>
                </c:pt>
                <c:pt idx="12">
                  <c:v>2.9615384615384617</c:v>
                </c:pt>
                <c:pt idx="13">
                  <c:v>3.3214285714285712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8279584"/>
        <c:axId val="-228276864"/>
      </c:lineChart>
      <c:catAx>
        <c:axId val="-228279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76864"/>
        <c:crosses val="autoZero"/>
        <c:auto val="0"/>
        <c:lblAlgn val="ctr"/>
        <c:lblOffset val="100"/>
        <c:noMultiLvlLbl val="1"/>
      </c:catAx>
      <c:valAx>
        <c:axId val="-228276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7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28273600"/>
        <c:axId val="-22827849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0.375</c:v>
                </c:pt>
                <c:pt idx="4">
                  <c:v>0.3</c:v>
                </c:pt>
                <c:pt idx="5">
                  <c:v>0.25</c:v>
                </c:pt>
                <c:pt idx="6">
                  <c:v>0.21428571428571427</c:v>
                </c:pt>
                <c:pt idx="7">
                  <c:v>0.1875</c:v>
                </c:pt>
                <c:pt idx="8">
                  <c:v>0.16666666666666666</c:v>
                </c:pt>
                <c:pt idx="9">
                  <c:v>0.15</c:v>
                </c:pt>
                <c:pt idx="10">
                  <c:v>0.31818181818181818</c:v>
                </c:pt>
                <c:pt idx="11">
                  <c:v>0.45833333333333331</c:v>
                </c:pt>
                <c:pt idx="12">
                  <c:v>0.42307692307692307</c:v>
                </c:pt>
                <c:pt idx="13">
                  <c:v>0.9642857142857143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8273600"/>
        <c:axId val="-228278496"/>
      </c:lineChart>
      <c:catAx>
        <c:axId val="-228273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78496"/>
        <c:crosses val="autoZero"/>
        <c:auto val="1"/>
        <c:lblAlgn val="ctr"/>
        <c:lblOffset val="100"/>
        <c:noMultiLvlLbl val="1"/>
      </c:catAx>
      <c:valAx>
        <c:axId val="-228278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736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28271968"/>
        <c:axId val="-22826652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2.25</c:v>
                </c:pt>
                <c:pt idx="4">
                  <c:v>1.8</c:v>
                </c:pt>
                <c:pt idx="5">
                  <c:v>1.5</c:v>
                </c:pt>
                <c:pt idx="6">
                  <c:v>1.4285714285714286</c:v>
                </c:pt>
                <c:pt idx="7">
                  <c:v>1.625</c:v>
                </c:pt>
                <c:pt idx="8">
                  <c:v>1.4444444444444444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8271968"/>
        <c:axId val="-228266528"/>
      </c:lineChart>
      <c:catAx>
        <c:axId val="-228271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66528"/>
        <c:crosses val="autoZero"/>
        <c:auto val="1"/>
        <c:lblAlgn val="ctr"/>
        <c:lblOffset val="100"/>
        <c:noMultiLvlLbl val="1"/>
      </c:catAx>
      <c:valAx>
        <c:axId val="-2282665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719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28280128"/>
        <c:axId val="-22827523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1.3333333333333333</c:v>
                </c:pt>
                <c:pt idx="3">
                  <c:v>1.5</c:v>
                </c:pt>
                <c:pt idx="4">
                  <c:v>1.2</c:v>
                </c:pt>
                <c:pt idx="5">
                  <c:v>1.6666666666666667</c:v>
                </c:pt>
                <c:pt idx="6">
                  <c:v>1.7142857142857142</c:v>
                </c:pt>
                <c:pt idx="7">
                  <c:v>1.5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1.3076923076923077</c:v>
                </c:pt>
                <c:pt idx="13">
                  <c:v>1.2142857142857142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8280128"/>
        <c:axId val="-228275232"/>
      </c:lineChart>
      <c:catAx>
        <c:axId val="-228280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75232"/>
        <c:crosses val="autoZero"/>
        <c:auto val="1"/>
        <c:lblAlgn val="ctr"/>
        <c:lblOffset val="100"/>
        <c:noMultiLvlLbl val="1"/>
      </c:catAx>
      <c:valAx>
        <c:axId val="-2282752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801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28281216"/>
        <c:axId val="-228271424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8281216"/>
        <c:axId val="-228271424"/>
      </c:lineChart>
      <c:catAx>
        <c:axId val="-2282812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71424"/>
        <c:crosses val="autoZero"/>
        <c:auto val="1"/>
        <c:lblAlgn val="ctr"/>
        <c:lblOffset val="100"/>
        <c:noMultiLvlLbl val="1"/>
      </c:catAx>
      <c:valAx>
        <c:axId val="-2282714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812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28274144"/>
        <c:axId val="-228269792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8274144"/>
        <c:axId val="-228269792"/>
      </c:lineChart>
      <c:catAx>
        <c:axId val="-2282741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69792"/>
        <c:crosses val="autoZero"/>
        <c:auto val="0"/>
        <c:lblAlgn val="ctr"/>
        <c:lblOffset val="100"/>
        <c:noMultiLvlLbl val="1"/>
      </c:catAx>
      <c:valAx>
        <c:axId val="-2282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7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228280672"/>
        <c:axId val="-228269248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28280672"/>
        <c:axId val="-228269248"/>
      </c:lineChart>
      <c:catAx>
        <c:axId val="-228280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69248"/>
        <c:crosses val="autoZero"/>
        <c:auto val="1"/>
        <c:lblAlgn val="ctr"/>
        <c:lblOffset val="100"/>
        <c:noMultiLvlLbl val="1"/>
      </c:catAx>
      <c:valAx>
        <c:axId val="-228269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282806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6903632"/>
        <c:axId val="-18690744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903632"/>
        <c:axId val="-186907440"/>
      </c:lineChart>
      <c:catAx>
        <c:axId val="-186903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07440"/>
        <c:crosses val="autoZero"/>
        <c:auto val="1"/>
        <c:lblAlgn val="ctr"/>
        <c:lblOffset val="100"/>
        <c:noMultiLvlLbl val="1"/>
      </c:catAx>
      <c:valAx>
        <c:axId val="-186907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036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6901456"/>
        <c:axId val="-18691179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901456"/>
        <c:axId val="-186911792"/>
      </c:lineChart>
      <c:catAx>
        <c:axId val="-1869014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11792"/>
        <c:crosses val="autoZero"/>
        <c:auto val="1"/>
        <c:lblAlgn val="ctr"/>
        <c:lblOffset val="100"/>
        <c:noMultiLvlLbl val="1"/>
      </c:catAx>
      <c:valAx>
        <c:axId val="-186911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014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6914512"/>
        <c:axId val="-18691288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914512"/>
        <c:axId val="-186912880"/>
      </c:lineChart>
      <c:catAx>
        <c:axId val="-1869145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12880"/>
        <c:crosses val="autoZero"/>
        <c:auto val="1"/>
        <c:lblAlgn val="ctr"/>
        <c:lblOffset val="100"/>
        <c:noMultiLvlLbl val="1"/>
      </c:catAx>
      <c:valAx>
        <c:axId val="-1869128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145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6911248"/>
        <c:axId val="-186904720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911248"/>
        <c:axId val="-186904720"/>
      </c:lineChart>
      <c:catAx>
        <c:axId val="-186911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04720"/>
        <c:crosses val="autoZero"/>
        <c:auto val="0"/>
        <c:lblAlgn val="ctr"/>
        <c:lblOffset val="100"/>
        <c:noMultiLvlLbl val="1"/>
      </c:catAx>
      <c:valAx>
        <c:axId val="-18690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11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6910704"/>
        <c:axId val="-18690308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910704"/>
        <c:axId val="-186903088"/>
      </c:lineChart>
      <c:catAx>
        <c:axId val="-186910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03088"/>
        <c:crosses val="autoZero"/>
        <c:auto val="1"/>
        <c:lblAlgn val="ctr"/>
        <c:lblOffset val="100"/>
        <c:noMultiLvlLbl val="1"/>
      </c:catAx>
      <c:valAx>
        <c:axId val="-186903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10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6902544"/>
        <c:axId val="-18690200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902544"/>
        <c:axId val="-186902000"/>
      </c:lineChart>
      <c:catAx>
        <c:axId val="-1869025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02000"/>
        <c:crosses val="autoZero"/>
        <c:auto val="1"/>
        <c:lblAlgn val="ctr"/>
        <c:lblOffset val="100"/>
        <c:noMultiLvlLbl val="1"/>
      </c:catAx>
      <c:valAx>
        <c:axId val="-1869020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025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6908528"/>
        <c:axId val="-18690580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908528"/>
        <c:axId val="-186905808"/>
      </c:lineChart>
      <c:catAx>
        <c:axId val="-186908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05808"/>
        <c:crosses val="autoZero"/>
        <c:auto val="1"/>
        <c:lblAlgn val="ctr"/>
        <c:lblOffset val="100"/>
        <c:noMultiLvlLbl val="1"/>
      </c:catAx>
      <c:valAx>
        <c:axId val="-186905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08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6915056"/>
        <c:axId val="-18537507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6915056"/>
        <c:axId val="-185375072"/>
      </c:lineChart>
      <c:catAx>
        <c:axId val="-1869150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75072"/>
        <c:crosses val="autoZero"/>
        <c:auto val="1"/>
        <c:lblAlgn val="ctr"/>
        <c:lblOffset val="100"/>
        <c:noMultiLvlLbl val="1"/>
      </c:catAx>
      <c:valAx>
        <c:axId val="-1853750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69150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5384320"/>
        <c:axId val="-185369632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5384320"/>
        <c:axId val="-185369632"/>
      </c:lineChart>
      <c:catAx>
        <c:axId val="-1853843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69632"/>
        <c:crosses val="autoZero"/>
        <c:auto val="0"/>
        <c:lblAlgn val="ctr"/>
        <c:lblOffset val="100"/>
        <c:noMultiLvlLbl val="1"/>
      </c:catAx>
      <c:valAx>
        <c:axId val="-18536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84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5371808"/>
        <c:axId val="-185373984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5371808"/>
        <c:axId val="-185373984"/>
      </c:lineChart>
      <c:catAx>
        <c:axId val="-185371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73984"/>
        <c:crosses val="autoZero"/>
        <c:auto val="1"/>
        <c:lblAlgn val="ctr"/>
        <c:lblOffset val="100"/>
        <c:noMultiLvlLbl val="1"/>
      </c:catAx>
      <c:valAx>
        <c:axId val="-185373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718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5373440"/>
        <c:axId val="-18538105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5373440"/>
        <c:axId val="-185381056"/>
      </c:lineChart>
      <c:catAx>
        <c:axId val="-185373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81056"/>
        <c:crosses val="autoZero"/>
        <c:auto val="1"/>
        <c:lblAlgn val="ctr"/>
        <c:lblOffset val="100"/>
        <c:noMultiLvlLbl val="1"/>
      </c:catAx>
      <c:valAx>
        <c:axId val="-1853810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734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5371264"/>
        <c:axId val="-18537072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5371264"/>
        <c:axId val="-185370720"/>
      </c:lineChart>
      <c:catAx>
        <c:axId val="-185371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70720"/>
        <c:crosses val="autoZero"/>
        <c:auto val="1"/>
        <c:lblAlgn val="ctr"/>
        <c:lblOffset val="100"/>
        <c:noMultiLvlLbl val="1"/>
      </c:catAx>
      <c:valAx>
        <c:axId val="-1853707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712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5381600"/>
        <c:axId val="-185377248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5381600"/>
        <c:axId val="-185377248"/>
      </c:lineChart>
      <c:catAx>
        <c:axId val="-185381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77248"/>
        <c:crosses val="autoZero"/>
        <c:auto val="1"/>
        <c:lblAlgn val="ctr"/>
        <c:lblOffset val="100"/>
        <c:noMultiLvlLbl val="1"/>
      </c:catAx>
      <c:valAx>
        <c:axId val="-185377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816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5383232"/>
        <c:axId val="-185380512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5383232"/>
        <c:axId val="-185380512"/>
      </c:lineChart>
      <c:catAx>
        <c:axId val="-185383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80512"/>
        <c:crosses val="autoZero"/>
        <c:auto val="0"/>
        <c:lblAlgn val="ctr"/>
        <c:lblOffset val="100"/>
        <c:noMultiLvlLbl val="1"/>
      </c:catAx>
      <c:valAx>
        <c:axId val="-18538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83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5377792"/>
        <c:axId val="-18537670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5377792"/>
        <c:axId val="-185376704"/>
      </c:lineChart>
      <c:catAx>
        <c:axId val="-1853777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76704"/>
        <c:crosses val="autoZero"/>
        <c:auto val="1"/>
        <c:lblAlgn val="ctr"/>
        <c:lblOffset val="100"/>
        <c:noMultiLvlLbl val="1"/>
      </c:catAx>
      <c:valAx>
        <c:axId val="-185376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53777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4467376"/>
        <c:axId val="-18446139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467376"/>
        <c:axId val="-184461392"/>
      </c:lineChart>
      <c:catAx>
        <c:axId val="-184467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61392"/>
        <c:crosses val="autoZero"/>
        <c:auto val="1"/>
        <c:lblAlgn val="ctr"/>
        <c:lblOffset val="100"/>
        <c:noMultiLvlLbl val="1"/>
      </c:catAx>
      <c:valAx>
        <c:axId val="-1844613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673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4455408"/>
        <c:axId val="-18448532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455408"/>
        <c:axId val="-184485328"/>
      </c:lineChart>
      <c:catAx>
        <c:axId val="-1844554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85328"/>
        <c:crosses val="autoZero"/>
        <c:auto val="1"/>
        <c:lblAlgn val="ctr"/>
        <c:lblOffset val="100"/>
        <c:noMultiLvlLbl val="1"/>
      </c:catAx>
      <c:valAx>
        <c:axId val="-184485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554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4482064"/>
        <c:axId val="-18446955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482064"/>
        <c:axId val="-184469552"/>
      </c:lineChart>
      <c:catAx>
        <c:axId val="-184482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69552"/>
        <c:crosses val="autoZero"/>
        <c:auto val="1"/>
        <c:lblAlgn val="ctr"/>
        <c:lblOffset val="100"/>
        <c:noMultiLvlLbl val="1"/>
      </c:catAx>
      <c:valAx>
        <c:axId val="-1844695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820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4484240"/>
        <c:axId val="-184479888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484240"/>
        <c:axId val="-184479888"/>
      </c:lineChart>
      <c:catAx>
        <c:axId val="-184484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79888"/>
        <c:crosses val="autoZero"/>
        <c:auto val="0"/>
        <c:lblAlgn val="ctr"/>
        <c:lblOffset val="100"/>
        <c:noMultiLvlLbl val="1"/>
      </c:catAx>
      <c:valAx>
        <c:axId val="-18447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8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4463024"/>
        <c:axId val="-184466832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463024"/>
        <c:axId val="-184466832"/>
      </c:lineChart>
      <c:catAx>
        <c:axId val="-184463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66832"/>
        <c:crosses val="autoZero"/>
        <c:auto val="1"/>
        <c:lblAlgn val="ctr"/>
        <c:lblOffset val="100"/>
        <c:noMultiLvlLbl val="1"/>
      </c:catAx>
      <c:valAx>
        <c:axId val="-1844668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630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4472816"/>
        <c:axId val="-18446900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472816"/>
        <c:axId val="-184469008"/>
      </c:lineChart>
      <c:catAx>
        <c:axId val="-1844728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69008"/>
        <c:crosses val="autoZero"/>
        <c:auto val="1"/>
        <c:lblAlgn val="ctr"/>
        <c:lblOffset val="100"/>
        <c:noMultiLvlLbl val="1"/>
      </c:catAx>
      <c:valAx>
        <c:axId val="-184469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728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4477712"/>
        <c:axId val="-18447009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477712"/>
        <c:axId val="-184470096"/>
      </c:lineChart>
      <c:catAx>
        <c:axId val="-184477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70096"/>
        <c:crosses val="autoZero"/>
        <c:auto val="1"/>
        <c:lblAlgn val="ctr"/>
        <c:lblOffset val="100"/>
        <c:noMultiLvlLbl val="1"/>
      </c:catAx>
      <c:valAx>
        <c:axId val="-184470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77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-184483152"/>
        <c:axId val="-18446792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4483152"/>
        <c:axId val="-184467920"/>
      </c:lineChart>
      <c:catAx>
        <c:axId val="-184483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67920"/>
        <c:crosses val="autoZero"/>
        <c:auto val="1"/>
        <c:lblAlgn val="ctr"/>
        <c:lblOffset val="100"/>
        <c:noMultiLvlLbl val="1"/>
      </c:catAx>
      <c:valAx>
        <c:axId val="-184467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8448315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abSelected="1" workbookViewId="0">
      <selection activeCell="O19" sqref="O19:Y2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75" t="s">
        <v>24</v>
      </c>
      <c r="D1" s="76"/>
      <c r="E1" s="76"/>
      <c r="F1" s="76"/>
      <c r="G1" s="76"/>
      <c r="H1" s="76"/>
      <c r="I1" s="76"/>
      <c r="J1" s="76"/>
      <c r="K1" s="76"/>
      <c r="L1" s="76"/>
      <c r="M1" s="76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2" t="s">
        <v>22</v>
      </c>
      <c r="D3" s="73"/>
      <c r="E3" s="73"/>
      <c r="F3" s="73"/>
      <c r="G3" s="73"/>
      <c r="H3" s="73"/>
      <c r="I3" s="73"/>
      <c r="J3" s="73"/>
      <c r="K3" s="73"/>
      <c r="L3" s="73"/>
      <c r="M3" s="73"/>
      <c r="N3" s="73" t="s">
        <v>23</v>
      </c>
      <c r="O3" s="73"/>
      <c r="P3" s="73"/>
      <c r="Q3" s="73"/>
      <c r="R3" s="73"/>
      <c r="S3" s="73"/>
      <c r="T3" s="73"/>
      <c r="U3" s="73"/>
      <c r="V3" s="73"/>
      <c r="W3" s="73"/>
      <c r="X3" s="73"/>
      <c r="Y3" s="74"/>
    </row>
    <row r="4" spans="1:25" ht="15.75" x14ac:dyDescent="0.25">
      <c r="C4" s="71" t="s">
        <v>12</v>
      </c>
      <c r="D4" s="71"/>
      <c r="E4" s="71"/>
      <c r="F4" s="71" t="s">
        <v>11</v>
      </c>
      <c r="G4" s="71"/>
      <c r="H4" s="71" t="s">
        <v>13</v>
      </c>
      <c r="I4" s="71"/>
      <c r="J4" s="71" t="s">
        <v>14</v>
      </c>
      <c r="K4" s="71"/>
      <c r="L4" s="77" t="s">
        <v>15</v>
      </c>
      <c r="M4" s="78"/>
      <c r="N4" s="78" t="s">
        <v>16</v>
      </c>
      <c r="O4" s="79"/>
      <c r="P4" s="71" t="s">
        <v>17</v>
      </c>
      <c r="Q4" s="71"/>
      <c r="R4" s="71" t="s">
        <v>18</v>
      </c>
      <c r="S4" s="71"/>
      <c r="T4" s="71" t="s">
        <v>19</v>
      </c>
      <c r="U4" s="71"/>
      <c r="V4" s="71" t="s">
        <v>20</v>
      </c>
      <c r="W4" s="71"/>
      <c r="X4" s="71" t="s">
        <v>21</v>
      </c>
      <c r="Y4" s="71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69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6</v>
      </c>
      <c r="M7" s="25">
        <f>SUM('Sprint 4'!J6:P6)</f>
        <v>9</v>
      </c>
      <c r="N7" s="45">
        <f>SUM('Sprint 5'!C6:I6)</f>
        <v>1.5</v>
      </c>
      <c r="O7" s="22">
        <f>SUM('Sprint 5'!J6:P6)</f>
        <v>12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69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2</v>
      </c>
      <c r="M8" s="25">
        <f>SUM('Sprint 4'!J7:P7)</f>
        <v>6</v>
      </c>
      <c r="N8" s="45">
        <f>SUM('Sprint 5'!C7:I7)</f>
        <v>10</v>
      </c>
      <c r="O8" s="22">
        <f>SUM('Sprint 5'!J7:P7)</f>
        <v>6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69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5">
        <f>SUM('Sprint 5'!C8:I8)</f>
        <v>12</v>
      </c>
      <c r="O9" s="22">
        <f>SUM('Sprint 5'!J8:P8)</f>
        <v>5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69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5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69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8</v>
      </c>
      <c r="M11" s="21">
        <f t="shared" si="2"/>
        <v>15</v>
      </c>
      <c r="N11" s="47">
        <f>SUM(N7:N10)</f>
        <v>23.5</v>
      </c>
      <c r="O11" s="65">
        <f t="shared" ref="O11:Y11" si="3">SUM(O7:O10)</f>
        <v>23</v>
      </c>
      <c r="P11" s="65">
        <f t="shared" si="3"/>
        <v>0</v>
      </c>
      <c r="Q11" s="65">
        <f t="shared" si="3"/>
        <v>0</v>
      </c>
      <c r="R11" s="65">
        <f t="shared" si="3"/>
        <v>0</v>
      </c>
      <c r="S11" s="65">
        <f t="shared" si="3"/>
        <v>0</v>
      </c>
      <c r="T11" s="65">
        <f t="shared" si="3"/>
        <v>0</v>
      </c>
      <c r="U11" s="65">
        <f t="shared" si="3"/>
        <v>0</v>
      </c>
      <c r="V11" s="65">
        <f t="shared" si="3"/>
        <v>0</v>
      </c>
      <c r="W11" s="65">
        <f t="shared" si="3"/>
        <v>0</v>
      </c>
      <c r="X11" s="65">
        <f t="shared" si="3"/>
        <v>0</v>
      </c>
      <c r="Y11" s="65">
        <f t="shared" si="3"/>
        <v>0</v>
      </c>
    </row>
    <row r="12" spans="1:25" x14ac:dyDescent="0.25">
      <c r="A12" s="6"/>
      <c r="M12" s="48"/>
      <c r="N12" s="49"/>
    </row>
    <row r="13" spans="1:25" x14ac:dyDescent="0.25">
      <c r="A13" s="69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5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69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5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69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2</v>
      </c>
      <c r="M15" s="25">
        <f>SUM('Sprint 4'!J20:P20)</f>
        <v>0.5</v>
      </c>
      <c r="N15" s="45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69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5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69"/>
      <c r="B17" s="9" t="s">
        <v>30</v>
      </c>
      <c r="C17" s="21">
        <f xml:space="preserve"> SUM(C13:C16)</f>
        <v>2.91</v>
      </c>
      <c r="D17" s="21">
        <f t="shared" ref="D17" si="4" xml:space="preserve"> SUM(D13:D16)</f>
        <v>13.75</v>
      </c>
      <c r="E17" s="21">
        <f t="shared" ref="E17" si="5" xml:space="preserve"> SUM(E13:E16)</f>
        <v>12.4</v>
      </c>
      <c r="F17" s="21">
        <f t="shared" ref="F17" si="6" xml:space="preserve"> SUM(F13:F16)</f>
        <v>6.25</v>
      </c>
      <c r="G17" s="21">
        <f t="shared" ref="G17" si="7" xml:space="preserve"> SUM(G13:G16)</f>
        <v>3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2</v>
      </c>
      <c r="M17" s="21">
        <f t="shared" ref="M17" si="13" xml:space="preserve"> SUM(M13:M16)</f>
        <v>0.5</v>
      </c>
      <c r="N17" s="47">
        <f>SUM(N13:N16)</f>
        <v>0</v>
      </c>
      <c r="O17" s="65">
        <f t="shared" ref="O17" si="14">SUM(O13:O16)</f>
        <v>0</v>
      </c>
      <c r="P17" s="65">
        <f t="shared" ref="P17" si="15">SUM(P13:P16)</f>
        <v>0</v>
      </c>
      <c r="Q17" s="65">
        <f t="shared" ref="Q17" si="16">SUM(Q13:Q16)</f>
        <v>0</v>
      </c>
      <c r="R17" s="65">
        <f t="shared" ref="R17" si="17">SUM(R13:R16)</f>
        <v>0</v>
      </c>
      <c r="S17" s="65">
        <f t="shared" ref="S17" si="18">SUM(S13:S16)</f>
        <v>0</v>
      </c>
      <c r="T17" s="65">
        <f t="shared" ref="T17" si="19">SUM(T13:T16)</f>
        <v>0</v>
      </c>
      <c r="U17" s="65">
        <f t="shared" ref="U17" si="20">SUM(U13:U16)</f>
        <v>0</v>
      </c>
      <c r="V17" s="65">
        <f t="shared" ref="V17" si="21">SUM(V13:V16)</f>
        <v>0</v>
      </c>
      <c r="W17" s="65">
        <f t="shared" ref="W17" si="22">SUM(W13:W16)</f>
        <v>0</v>
      </c>
      <c r="X17" s="65">
        <f t="shared" ref="X17" si="23">SUM(X13:X16)</f>
        <v>0</v>
      </c>
      <c r="Y17" s="65">
        <f t="shared" ref="Y17" si="24">SUM(Y13:Y16)</f>
        <v>0</v>
      </c>
    </row>
    <row r="18" spans="1:25" x14ac:dyDescent="0.25">
      <c r="M18" s="48"/>
      <c r="N18" s="49"/>
    </row>
    <row r="19" spans="1:25" x14ac:dyDescent="0.25">
      <c r="A19" s="70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D13</f>
        <v>7</v>
      </c>
      <c r="E19" s="25">
        <f t="shared" ref="E19:M19" si="25" xml:space="preserve"> D19 + E7 + E13</f>
        <v>11.5</v>
      </c>
      <c r="F19" s="25">
        <f t="shared" si="25"/>
        <v>12.5</v>
      </c>
      <c r="G19" s="25">
        <f t="shared" si="25"/>
        <v>18.5</v>
      </c>
      <c r="H19" s="25">
        <f t="shared" si="25"/>
        <v>23.5</v>
      </c>
      <c r="I19" s="25">
        <f t="shared" si="25"/>
        <v>34</v>
      </c>
      <c r="J19" s="25">
        <f t="shared" si="25"/>
        <v>45</v>
      </c>
      <c r="K19" s="25">
        <f t="shared" si="25"/>
        <v>54</v>
      </c>
      <c r="L19" s="25">
        <f t="shared" si="25"/>
        <v>60</v>
      </c>
      <c r="M19" s="25">
        <f t="shared" si="25"/>
        <v>69</v>
      </c>
      <c r="N19" s="45">
        <f t="shared" ref="N19:O22" si="26" xml:space="preserve"> M19 + N7 + N13</f>
        <v>70.5</v>
      </c>
      <c r="O19" s="25">
        <f t="shared" si="26"/>
        <v>82.5</v>
      </c>
      <c r="P19" s="25">
        <f t="shared" ref="P19:Y19" si="27" xml:space="preserve"> O19 + P7 + P13</f>
        <v>82.5</v>
      </c>
      <c r="Q19" s="25">
        <f t="shared" si="27"/>
        <v>82.5</v>
      </c>
      <c r="R19" s="25">
        <f t="shared" si="27"/>
        <v>82.5</v>
      </c>
      <c r="S19" s="25">
        <f t="shared" si="27"/>
        <v>82.5</v>
      </c>
      <c r="T19" s="25">
        <f t="shared" si="27"/>
        <v>82.5</v>
      </c>
      <c r="U19" s="25">
        <f t="shared" si="27"/>
        <v>82.5</v>
      </c>
      <c r="V19" s="25">
        <f t="shared" si="27"/>
        <v>82.5</v>
      </c>
      <c r="W19" s="25">
        <f t="shared" si="27"/>
        <v>82.5</v>
      </c>
      <c r="X19" s="25">
        <f t="shared" si="27"/>
        <v>82.5</v>
      </c>
      <c r="Y19" s="25">
        <f t="shared" si="27"/>
        <v>82.5</v>
      </c>
    </row>
    <row r="20" spans="1:25" x14ac:dyDescent="0.25">
      <c r="A20" s="70"/>
      <c r="B20" s="8" t="str">
        <f xml:space="preserve"> CONCATENATE(Setup!$B$8, ", ", LEFT(Setup!$C$8,2))</f>
        <v>Spencer, SS</v>
      </c>
      <c r="C20" s="25">
        <f t="shared" ref="C20:C22" si="28" xml:space="preserve"> C8 + C14</f>
        <v>2.66</v>
      </c>
      <c r="D20" s="25">
        <f xml:space="preserve"> C20 + D8 + D14</f>
        <v>11.66</v>
      </c>
      <c r="E20" s="25">
        <f t="shared" ref="E20:M20" si="29" xml:space="preserve"> D20 + E8 + E14</f>
        <v>17.060000000000002</v>
      </c>
      <c r="F20" s="25">
        <f t="shared" si="29"/>
        <v>23.310000000000002</v>
      </c>
      <c r="G20" s="25">
        <f t="shared" si="29"/>
        <v>26.310000000000002</v>
      </c>
      <c r="H20" s="25">
        <f t="shared" si="29"/>
        <v>28.310000000000002</v>
      </c>
      <c r="I20" s="25">
        <f t="shared" si="29"/>
        <v>40.313000000000002</v>
      </c>
      <c r="J20" s="25">
        <f t="shared" si="29"/>
        <v>51.313000000000002</v>
      </c>
      <c r="K20" s="25">
        <f t="shared" si="29"/>
        <v>59.313000000000002</v>
      </c>
      <c r="L20" s="25">
        <f t="shared" si="29"/>
        <v>61.313000000000002</v>
      </c>
      <c r="M20" s="25">
        <f t="shared" si="29"/>
        <v>67.313000000000002</v>
      </c>
      <c r="N20" s="45">
        <f t="shared" si="26"/>
        <v>77.313000000000002</v>
      </c>
      <c r="O20" s="25">
        <f t="shared" si="26"/>
        <v>83.313000000000002</v>
      </c>
      <c r="P20" s="25">
        <f t="shared" ref="P20:Y20" si="30" xml:space="preserve"> O20 + P8 + P14</f>
        <v>83.313000000000002</v>
      </c>
      <c r="Q20" s="25">
        <f t="shared" si="30"/>
        <v>83.313000000000002</v>
      </c>
      <c r="R20" s="25">
        <f t="shared" si="30"/>
        <v>83.313000000000002</v>
      </c>
      <c r="S20" s="25">
        <f t="shared" si="30"/>
        <v>83.313000000000002</v>
      </c>
      <c r="T20" s="25">
        <f t="shared" si="30"/>
        <v>83.313000000000002</v>
      </c>
      <c r="U20" s="25">
        <f t="shared" si="30"/>
        <v>83.313000000000002</v>
      </c>
      <c r="V20" s="25">
        <f t="shared" si="30"/>
        <v>83.313000000000002</v>
      </c>
      <c r="W20" s="25">
        <f t="shared" si="30"/>
        <v>83.313000000000002</v>
      </c>
      <c r="X20" s="25">
        <f t="shared" si="30"/>
        <v>83.313000000000002</v>
      </c>
      <c r="Y20" s="25">
        <f t="shared" si="30"/>
        <v>83.313000000000002</v>
      </c>
    </row>
    <row r="21" spans="1:25" x14ac:dyDescent="0.25">
      <c r="A21" s="70"/>
      <c r="B21" s="8" t="str">
        <f xml:space="preserve"> CONCATENATE(Setup!$B$9, ", ", LEFT(Setup!$C$9,2))</f>
        <v>Dylan, DW</v>
      </c>
      <c r="C21" s="25">
        <f t="shared" si="28"/>
        <v>1.25</v>
      </c>
      <c r="D21" s="25">
        <f xml:space="preserve"> C21 + D9 + D15</f>
        <v>4.25</v>
      </c>
      <c r="E21" s="25">
        <f t="shared" ref="E21:M21" si="31" xml:space="preserve"> D21 + E9 + E15</f>
        <v>13.25</v>
      </c>
      <c r="F21" s="25">
        <f t="shared" si="31"/>
        <v>16.75</v>
      </c>
      <c r="G21" s="25">
        <f t="shared" si="31"/>
        <v>18.25</v>
      </c>
      <c r="H21" s="25">
        <f t="shared" si="31"/>
        <v>23.317</v>
      </c>
      <c r="I21" s="25">
        <f t="shared" si="31"/>
        <v>28.817</v>
      </c>
      <c r="J21" s="25">
        <f t="shared" si="31"/>
        <v>34.817</v>
      </c>
      <c r="K21" s="25">
        <f t="shared" si="31"/>
        <v>39.817</v>
      </c>
      <c r="L21" s="25">
        <f t="shared" si="31"/>
        <v>41.817</v>
      </c>
      <c r="M21" s="25">
        <f t="shared" si="31"/>
        <v>42.317</v>
      </c>
      <c r="N21" s="45">
        <f t="shared" si="26"/>
        <v>54.317</v>
      </c>
      <c r="O21" s="25">
        <f t="shared" si="26"/>
        <v>59.317</v>
      </c>
      <c r="P21" s="25">
        <f t="shared" ref="P21:Y21" si="32" xml:space="preserve"> O21 + P9 + P15</f>
        <v>59.317</v>
      </c>
      <c r="Q21" s="25">
        <f t="shared" si="32"/>
        <v>59.317</v>
      </c>
      <c r="R21" s="25">
        <f t="shared" si="32"/>
        <v>59.317</v>
      </c>
      <c r="S21" s="25">
        <f t="shared" si="32"/>
        <v>59.317</v>
      </c>
      <c r="T21" s="25">
        <f t="shared" si="32"/>
        <v>59.317</v>
      </c>
      <c r="U21" s="25">
        <f t="shared" si="32"/>
        <v>59.317</v>
      </c>
      <c r="V21" s="25">
        <f t="shared" si="32"/>
        <v>59.317</v>
      </c>
      <c r="W21" s="25">
        <f t="shared" si="32"/>
        <v>59.317</v>
      </c>
      <c r="X21" s="25">
        <f t="shared" si="32"/>
        <v>59.317</v>
      </c>
      <c r="Y21" s="25">
        <f t="shared" si="32"/>
        <v>59.317</v>
      </c>
    </row>
    <row r="22" spans="1:25" x14ac:dyDescent="0.25">
      <c r="A22" s="70"/>
      <c r="B22" s="8" t="e">
        <f xml:space="preserve"> CONCATENATE(Setup!#REF!, ", ", LEFT(Setup!#REF!,2))</f>
        <v>#REF!</v>
      </c>
      <c r="C22" s="25">
        <f t="shared" si="28"/>
        <v>0</v>
      </c>
      <c r="D22" s="25">
        <f xml:space="preserve"> C22 + D10 + D16</f>
        <v>0</v>
      </c>
      <c r="E22" s="25">
        <f t="shared" ref="E22:M22" si="33" xml:space="preserve"> D22 + E10 + E16</f>
        <v>0</v>
      </c>
      <c r="F22" s="25">
        <f t="shared" si="33"/>
        <v>0</v>
      </c>
      <c r="G22" s="25">
        <f t="shared" si="33"/>
        <v>0</v>
      </c>
      <c r="H22" s="25">
        <f t="shared" si="33"/>
        <v>0</v>
      </c>
      <c r="I22" s="25">
        <f t="shared" si="33"/>
        <v>0</v>
      </c>
      <c r="J22" s="25">
        <f t="shared" si="33"/>
        <v>0</v>
      </c>
      <c r="K22" s="25">
        <f t="shared" si="33"/>
        <v>0</v>
      </c>
      <c r="L22" s="25">
        <f t="shared" si="33"/>
        <v>0</v>
      </c>
      <c r="M22" s="25">
        <f t="shared" si="33"/>
        <v>0</v>
      </c>
      <c r="N22" s="45">
        <f t="shared" si="26"/>
        <v>0</v>
      </c>
      <c r="O22" s="25">
        <f t="shared" si="26"/>
        <v>0</v>
      </c>
      <c r="P22" s="25">
        <f t="shared" ref="P22:Y22" si="34" xml:space="preserve"> O22 + P10 + P16</f>
        <v>0</v>
      </c>
      <c r="Q22" s="25">
        <f t="shared" si="34"/>
        <v>0</v>
      </c>
      <c r="R22" s="25">
        <f t="shared" si="34"/>
        <v>0</v>
      </c>
      <c r="S22" s="25">
        <f t="shared" si="34"/>
        <v>0</v>
      </c>
      <c r="T22" s="25">
        <f t="shared" si="34"/>
        <v>0</v>
      </c>
      <c r="U22" s="25">
        <f t="shared" si="34"/>
        <v>0</v>
      </c>
      <c r="V22" s="25">
        <f t="shared" si="34"/>
        <v>0</v>
      </c>
      <c r="W22" s="25">
        <f t="shared" si="34"/>
        <v>0</v>
      </c>
      <c r="X22" s="25">
        <f t="shared" si="34"/>
        <v>0</v>
      </c>
      <c r="Y22" s="25">
        <f t="shared" si="34"/>
        <v>0</v>
      </c>
    </row>
    <row r="23" spans="1:25" ht="15.75" x14ac:dyDescent="0.25">
      <c r="A23" s="70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35" xml:space="preserve"> D23 + E11 + E17</f>
        <v>41.81</v>
      </c>
      <c r="F23" s="21">
        <f t="shared" si="35"/>
        <v>52.56</v>
      </c>
      <c r="G23" s="21">
        <f t="shared" si="35"/>
        <v>63.06</v>
      </c>
      <c r="H23" s="21">
        <f t="shared" si="35"/>
        <v>75.12700000000001</v>
      </c>
      <c r="I23" s="21">
        <f t="shared" si="35"/>
        <v>103.13000000000001</v>
      </c>
      <c r="J23" s="21">
        <f t="shared" si="35"/>
        <v>131.13</v>
      </c>
      <c r="K23" s="21">
        <f t="shared" si="35"/>
        <v>153.13</v>
      </c>
      <c r="L23" s="21">
        <f t="shared" si="35"/>
        <v>163.13</v>
      </c>
      <c r="M23" s="46">
        <f t="shared" si="35"/>
        <v>178.63</v>
      </c>
      <c r="N23" s="47">
        <f t="shared" si="35"/>
        <v>202.13</v>
      </c>
      <c r="O23" s="21">
        <f t="shared" si="35"/>
        <v>225.13</v>
      </c>
      <c r="P23" s="21">
        <f t="shared" si="35"/>
        <v>225.13</v>
      </c>
      <c r="Q23" s="21">
        <f t="shared" si="35"/>
        <v>225.13</v>
      </c>
      <c r="R23" s="21">
        <f t="shared" si="35"/>
        <v>225.13</v>
      </c>
      <c r="S23" s="21">
        <f t="shared" si="35"/>
        <v>225.13</v>
      </c>
      <c r="T23" s="21">
        <f t="shared" si="35"/>
        <v>225.13</v>
      </c>
      <c r="U23" s="21">
        <f t="shared" si="35"/>
        <v>225.13</v>
      </c>
      <c r="V23" s="21">
        <f t="shared" si="35"/>
        <v>225.13</v>
      </c>
      <c r="W23" s="21">
        <f t="shared" si="35"/>
        <v>225.13</v>
      </c>
      <c r="X23" s="21">
        <f t="shared" si="35"/>
        <v>225.13</v>
      </c>
      <c r="Y23" s="21">
        <f t="shared" si="35"/>
        <v>225.13</v>
      </c>
    </row>
    <row r="24" spans="1:25" ht="15.75" x14ac:dyDescent="0.25">
      <c r="A24" s="19"/>
      <c r="B24" s="20"/>
      <c r="M24" s="48"/>
      <c r="N24" s="49"/>
    </row>
    <row r="25" spans="1:25" x14ac:dyDescent="0.25">
      <c r="A25" s="70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t="shared" ref="D25:E25" si="36" xml:space="preserve"> D19 / D$6</f>
        <v>3.5</v>
      </c>
      <c r="E25" s="29">
        <f t="shared" si="36"/>
        <v>3.8333333333333335</v>
      </c>
      <c r="F25" s="29">
        <f t="shared" ref="F25:Y25" si="37" xml:space="preserve"> F19 / F$6</f>
        <v>3.125</v>
      </c>
      <c r="G25" s="29">
        <f t="shared" si="37"/>
        <v>3.7</v>
      </c>
      <c r="H25" s="29">
        <f t="shared" si="37"/>
        <v>3.9166666666666665</v>
      </c>
      <c r="I25" s="29">
        <f t="shared" si="37"/>
        <v>4.8571428571428568</v>
      </c>
      <c r="J25" s="29">
        <f t="shared" si="37"/>
        <v>5.625</v>
      </c>
      <c r="K25" s="29">
        <f t="shared" si="37"/>
        <v>6</v>
      </c>
      <c r="L25" s="29">
        <f t="shared" si="37"/>
        <v>6</v>
      </c>
      <c r="M25" s="50">
        <f t="shared" si="37"/>
        <v>6.2727272727272725</v>
      </c>
      <c r="N25" s="51">
        <f t="shared" si="37"/>
        <v>5.875</v>
      </c>
      <c r="O25" s="29">
        <f t="shared" si="37"/>
        <v>6.3461538461538458</v>
      </c>
      <c r="P25" s="29">
        <f t="shared" si="37"/>
        <v>5.8928571428571432</v>
      </c>
      <c r="Q25" s="29">
        <f t="shared" si="37"/>
        <v>5.5</v>
      </c>
      <c r="R25" s="29">
        <f t="shared" si="37"/>
        <v>5.15625</v>
      </c>
      <c r="S25" s="29">
        <f t="shared" si="37"/>
        <v>4.8529411764705879</v>
      </c>
      <c r="T25" s="29">
        <f t="shared" si="37"/>
        <v>4.583333333333333</v>
      </c>
      <c r="U25" s="29">
        <f t="shared" si="37"/>
        <v>4.3421052631578947</v>
      </c>
      <c r="V25" s="29">
        <f t="shared" si="37"/>
        <v>4.125</v>
      </c>
      <c r="W25" s="29">
        <f t="shared" si="37"/>
        <v>3.9285714285714284</v>
      </c>
      <c r="X25" s="29">
        <f t="shared" si="37"/>
        <v>3.75</v>
      </c>
      <c r="Y25" s="29">
        <f t="shared" si="37"/>
        <v>3.5869565217391304</v>
      </c>
    </row>
    <row r="26" spans="1:25" x14ac:dyDescent="0.25">
      <c r="A26" s="70"/>
      <c r="B26" s="8" t="str">
        <f xml:space="preserve"> CONCATENATE(Setup!$B$8, ", ", LEFT(Setup!$C$8,2))</f>
        <v>Spencer, SS</v>
      </c>
      <c r="C26" s="29">
        <f t="shared" ref="C26:E29" si="38" xml:space="preserve"> C20 / C$6</f>
        <v>2.66</v>
      </c>
      <c r="D26" s="29">
        <f t="shared" si="38"/>
        <v>5.83</v>
      </c>
      <c r="E26" s="29">
        <f t="shared" si="38"/>
        <v>5.6866666666666674</v>
      </c>
      <c r="F26" s="29">
        <f t="shared" ref="F26:Y26" si="39" xml:space="preserve"> F20 / F$6</f>
        <v>5.8275000000000006</v>
      </c>
      <c r="G26" s="29">
        <f t="shared" si="39"/>
        <v>5.2620000000000005</v>
      </c>
      <c r="H26" s="29">
        <f t="shared" si="39"/>
        <v>4.7183333333333337</v>
      </c>
      <c r="I26" s="29">
        <f t="shared" si="39"/>
        <v>5.7590000000000003</v>
      </c>
      <c r="J26" s="29">
        <f t="shared" si="39"/>
        <v>6.4141250000000003</v>
      </c>
      <c r="K26" s="29">
        <f t="shared" si="39"/>
        <v>6.5903333333333336</v>
      </c>
      <c r="L26" s="29">
        <f t="shared" si="39"/>
        <v>6.1313000000000004</v>
      </c>
      <c r="M26" s="50">
        <f t="shared" si="39"/>
        <v>6.1193636363636363</v>
      </c>
      <c r="N26" s="51">
        <f t="shared" si="39"/>
        <v>6.4427500000000002</v>
      </c>
      <c r="O26" s="29">
        <f t="shared" si="39"/>
        <v>6.4086923076923075</v>
      </c>
      <c r="P26" s="29">
        <f t="shared" si="39"/>
        <v>5.9509285714285713</v>
      </c>
      <c r="Q26" s="29">
        <f t="shared" si="39"/>
        <v>5.5541999999999998</v>
      </c>
      <c r="R26" s="29">
        <f t="shared" si="39"/>
        <v>5.2070625000000001</v>
      </c>
      <c r="S26" s="29">
        <f t="shared" si="39"/>
        <v>4.9007647058823531</v>
      </c>
      <c r="T26" s="29">
        <f t="shared" si="39"/>
        <v>4.6284999999999998</v>
      </c>
      <c r="U26" s="29">
        <f t="shared" si="39"/>
        <v>4.3848947368421056</v>
      </c>
      <c r="V26" s="29">
        <f t="shared" si="39"/>
        <v>4.1656500000000003</v>
      </c>
      <c r="W26" s="29">
        <f t="shared" si="39"/>
        <v>3.9672857142857145</v>
      </c>
      <c r="X26" s="29">
        <f t="shared" si="39"/>
        <v>3.7869545454545457</v>
      </c>
      <c r="Y26" s="29">
        <f t="shared" si="39"/>
        <v>3.6223043478260872</v>
      </c>
    </row>
    <row r="27" spans="1:25" x14ac:dyDescent="0.25">
      <c r="A27" s="70"/>
      <c r="B27" s="8" t="str">
        <f xml:space="preserve"> CONCATENATE(Setup!$B$9, ", ", LEFT(Setup!$C$9,2))</f>
        <v>Dylan, DW</v>
      </c>
      <c r="C27" s="29">
        <f t="shared" si="38"/>
        <v>1.25</v>
      </c>
      <c r="D27" s="29">
        <f t="shared" si="38"/>
        <v>2.125</v>
      </c>
      <c r="E27" s="29">
        <f t="shared" si="38"/>
        <v>4.416666666666667</v>
      </c>
      <c r="F27" s="29">
        <f t="shared" ref="F27:Y27" si="40" xml:space="preserve"> F21 / F$6</f>
        <v>4.1875</v>
      </c>
      <c r="G27" s="29">
        <f t="shared" si="40"/>
        <v>3.65</v>
      </c>
      <c r="H27" s="29">
        <f t="shared" si="40"/>
        <v>3.8861666666666665</v>
      </c>
      <c r="I27" s="29">
        <f t="shared" si="40"/>
        <v>4.116714285714286</v>
      </c>
      <c r="J27" s="29">
        <f t="shared" si="40"/>
        <v>4.352125</v>
      </c>
      <c r="K27" s="29">
        <f t="shared" si="40"/>
        <v>4.4241111111111113</v>
      </c>
      <c r="L27" s="29">
        <f t="shared" si="40"/>
        <v>4.1817000000000002</v>
      </c>
      <c r="M27" s="50">
        <f t="shared" si="40"/>
        <v>3.847</v>
      </c>
      <c r="N27" s="51">
        <f t="shared" si="40"/>
        <v>4.526416666666667</v>
      </c>
      <c r="O27" s="29">
        <f t="shared" si="40"/>
        <v>4.562846153846154</v>
      </c>
      <c r="P27" s="29">
        <f t="shared" si="40"/>
        <v>4.2369285714285718</v>
      </c>
      <c r="Q27" s="29">
        <f t="shared" si="40"/>
        <v>3.9544666666666668</v>
      </c>
      <c r="R27" s="29">
        <f t="shared" si="40"/>
        <v>3.7073125</v>
      </c>
      <c r="S27" s="29">
        <f t="shared" si="40"/>
        <v>3.489235294117647</v>
      </c>
      <c r="T27" s="29">
        <f t="shared" si="40"/>
        <v>3.2953888888888887</v>
      </c>
      <c r="U27" s="29">
        <f t="shared" si="40"/>
        <v>3.1219473684210528</v>
      </c>
      <c r="V27" s="29">
        <f t="shared" si="40"/>
        <v>2.9658500000000001</v>
      </c>
      <c r="W27" s="29">
        <f t="shared" si="40"/>
        <v>2.8246190476190476</v>
      </c>
      <c r="X27" s="29">
        <f t="shared" si="40"/>
        <v>2.6962272727272727</v>
      </c>
      <c r="Y27" s="29">
        <f t="shared" si="40"/>
        <v>2.5790000000000002</v>
      </c>
    </row>
    <row r="28" spans="1:25" x14ac:dyDescent="0.25">
      <c r="A28" s="70"/>
      <c r="B28" s="8" t="e">
        <f xml:space="preserve"> CONCATENATE(Setup!#REF!, ", ", LEFT(Setup!#REF!,2))</f>
        <v>#REF!</v>
      </c>
      <c r="C28" s="29">
        <f t="shared" si="38"/>
        <v>0</v>
      </c>
      <c r="D28" s="29">
        <f t="shared" si="38"/>
        <v>0</v>
      </c>
      <c r="E28" s="29">
        <f t="shared" si="38"/>
        <v>0</v>
      </c>
      <c r="F28" s="29">
        <f t="shared" ref="F28:Y28" si="41" xml:space="preserve"> F22 / F$6</f>
        <v>0</v>
      </c>
      <c r="G28" s="29">
        <f t="shared" si="41"/>
        <v>0</v>
      </c>
      <c r="H28" s="29">
        <f t="shared" si="41"/>
        <v>0</v>
      </c>
      <c r="I28" s="29">
        <f t="shared" si="41"/>
        <v>0</v>
      </c>
      <c r="J28" s="29">
        <f t="shared" si="41"/>
        <v>0</v>
      </c>
      <c r="K28" s="29">
        <f t="shared" si="41"/>
        <v>0</v>
      </c>
      <c r="L28" s="29">
        <f t="shared" si="41"/>
        <v>0</v>
      </c>
      <c r="M28" s="50">
        <f t="shared" si="41"/>
        <v>0</v>
      </c>
      <c r="N28" s="51">
        <f t="shared" si="41"/>
        <v>0</v>
      </c>
      <c r="O28" s="29">
        <f t="shared" si="41"/>
        <v>0</v>
      </c>
      <c r="P28" s="29">
        <f t="shared" si="41"/>
        <v>0</v>
      </c>
      <c r="Q28" s="29">
        <f t="shared" si="41"/>
        <v>0</v>
      </c>
      <c r="R28" s="29">
        <f t="shared" si="41"/>
        <v>0</v>
      </c>
      <c r="S28" s="29">
        <f t="shared" si="41"/>
        <v>0</v>
      </c>
      <c r="T28" s="29">
        <f t="shared" si="41"/>
        <v>0</v>
      </c>
      <c r="U28" s="29">
        <f t="shared" si="41"/>
        <v>0</v>
      </c>
      <c r="V28" s="29">
        <f t="shared" si="41"/>
        <v>0</v>
      </c>
      <c r="W28" s="29">
        <f t="shared" si="41"/>
        <v>0</v>
      </c>
      <c r="X28" s="29">
        <f t="shared" si="41"/>
        <v>0</v>
      </c>
      <c r="Y28" s="29">
        <f t="shared" si="41"/>
        <v>0</v>
      </c>
    </row>
    <row r="29" spans="1:25" ht="15.75" x14ac:dyDescent="0.25">
      <c r="A29" s="70"/>
      <c r="B29" s="9" t="s">
        <v>30</v>
      </c>
      <c r="C29" s="30">
        <f t="shared" si="38"/>
        <v>5.91</v>
      </c>
      <c r="D29" s="30">
        <f t="shared" si="38"/>
        <v>11.455</v>
      </c>
      <c r="E29" s="30">
        <f t="shared" si="38"/>
        <v>13.936666666666667</v>
      </c>
      <c r="F29" s="30">
        <f t="shared" ref="F29:Y29" si="42" xml:space="preserve"> F23 / F$6</f>
        <v>13.14</v>
      </c>
      <c r="G29" s="30">
        <f t="shared" si="42"/>
        <v>12.612</v>
      </c>
      <c r="H29" s="30">
        <f t="shared" si="42"/>
        <v>12.521166666666668</v>
      </c>
      <c r="I29" s="30">
        <f t="shared" si="42"/>
        <v>14.732857142857144</v>
      </c>
      <c r="J29" s="30">
        <f t="shared" si="42"/>
        <v>16.391249999999999</v>
      </c>
      <c r="K29" s="30">
        <f t="shared" si="42"/>
        <v>17.014444444444443</v>
      </c>
      <c r="L29" s="30">
        <f t="shared" si="42"/>
        <v>16.312999999999999</v>
      </c>
      <c r="M29" s="52">
        <f t="shared" si="42"/>
        <v>16.239090909090908</v>
      </c>
      <c r="N29" s="53">
        <f t="shared" si="42"/>
        <v>16.844166666666666</v>
      </c>
      <c r="O29" s="30">
        <f t="shared" si="42"/>
        <v>17.317692307692308</v>
      </c>
      <c r="P29" s="30">
        <f t="shared" si="42"/>
        <v>16.080714285714286</v>
      </c>
      <c r="Q29" s="30">
        <f t="shared" si="42"/>
        <v>15.008666666666667</v>
      </c>
      <c r="R29" s="30">
        <f t="shared" si="42"/>
        <v>14.070625</v>
      </c>
      <c r="S29" s="30">
        <f t="shared" si="42"/>
        <v>13.242941176470588</v>
      </c>
      <c r="T29" s="30">
        <f t="shared" si="42"/>
        <v>12.507222222222222</v>
      </c>
      <c r="U29" s="30">
        <f t="shared" si="42"/>
        <v>11.848947368421053</v>
      </c>
      <c r="V29" s="30">
        <f t="shared" si="42"/>
        <v>11.256499999999999</v>
      </c>
      <c r="W29" s="30">
        <f t="shared" si="42"/>
        <v>10.720476190476191</v>
      </c>
      <c r="X29" s="30">
        <f t="shared" si="42"/>
        <v>10.233181818181817</v>
      </c>
      <c r="Y29" s="30">
        <f t="shared" si="42"/>
        <v>9.7882608695652173</v>
      </c>
    </row>
  </sheetData>
  <mergeCells count="18">
    <mergeCell ref="C1:M1"/>
    <mergeCell ref="L4:M4"/>
    <mergeCell ref="N4:O4"/>
    <mergeCell ref="P4:Q4"/>
    <mergeCell ref="R4:S4"/>
    <mergeCell ref="C4:E4"/>
    <mergeCell ref="F4:G4"/>
    <mergeCell ref="H4:I4"/>
    <mergeCell ref="J4:K4"/>
    <mergeCell ref="A7:A11"/>
    <mergeCell ref="A25:A29"/>
    <mergeCell ref="A19:A23"/>
    <mergeCell ref="X4:Y4"/>
    <mergeCell ref="C3:M3"/>
    <mergeCell ref="N3:Y3"/>
    <mergeCell ref="T4:U4"/>
    <mergeCell ref="V4:W4"/>
    <mergeCell ref="A13:A17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1" t="s">
        <v>32</v>
      </c>
      <c r="D3" s="82"/>
      <c r="E3" s="82"/>
      <c r="F3" s="82"/>
      <c r="G3" s="82"/>
      <c r="H3" s="82"/>
      <c r="I3" s="82"/>
      <c r="J3" s="82" t="s">
        <v>33</v>
      </c>
      <c r="K3" s="82"/>
      <c r="L3" s="82"/>
      <c r="M3" s="82"/>
      <c r="N3" s="82"/>
      <c r="O3" s="82"/>
      <c r="P3" s="82"/>
      <c r="Q3" s="82" t="s">
        <v>34</v>
      </c>
      <c r="R3" s="82"/>
      <c r="S3" s="82"/>
      <c r="T3" s="82"/>
      <c r="U3" s="82"/>
      <c r="V3" s="82"/>
      <c r="W3" s="83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5">
        <f t="shared" si="0"/>
        <v>42260</v>
      </c>
      <c r="J4" s="56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5">
        <f t="shared" si="0"/>
        <v>42267</v>
      </c>
      <c r="Q4" s="56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  <c r="Q5" s="58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4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59">
        <v>0</v>
      </c>
      <c r="J6" s="60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  <c r="Q6" s="66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4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59">
        <v>0</v>
      </c>
      <c r="J7" s="60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  <c r="Q7" s="67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4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59">
        <v>0</v>
      </c>
      <c r="J8" s="60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59">
        <v>0</v>
      </c>
      <c r="Q8" s="67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4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59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  <c r="Q9" s="68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4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1">
        <f t="shared" si="1"/>
        <v>0</v>
      </c>
      <c r="Q10" s="62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  <c r="Q11" s="62"/>
      <c r="R11" s="21"/>
      <c r="S11" s="21"/>
      <c r="T11" s="21"/>
      <c r="U11" s="21"/>
      <c r="V11" s="21"/>
      <c r="W11" s="21"/>
    </row>
    <row r="12" spans="1:23" ht="15.75" thickBot="1" x14ac:dyDescent="0.3">
      <c r="A12" s="84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3">
        <f t="shared" si="2"/>
        <v>2</v>
      </c>
      <c r="J12" s="64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3">
        <f t="shared" si="2"/>
        <v>3</v>
      </c>
      <c r="Q12" s="64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4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3">
        <f t="shared" si="3"/>
        <v>0.5</v>
      </c>
      <c r="Q13" s="64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4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3">
        <f t="shared" si="4"/>
        <v>1</v>
      </c>
      <c r="J14" s="64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3">
        <f t="shared" si="4"/>
        <v>2.75</v>
      </c>
      <c r="Q14" s="64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4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  <c r="Q15" s="64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4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1">
        <f t="shared" si="6"/>
        <v>3</v>
      </c>
      <c r="J16" s="62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1">
        <f t="shared" si="6"/>
        <v>6.25</v>
      </c>
      <c r="Q16" s="62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  <c r="Q17" s="62"/>
      <c r="R17" s="21"/>
      <c r="S17" s="21"/>
      <c r="T17" s="21"/>
      <c r="U17" s="21"/>
      <c r="V17" s="21"/>
      <c r="W17" s="21"/>
    </row>
    <row r="18" spans="1:23" ht="15.75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59">
        <v>0</v>
      </c>
      <c r="J18" s="60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59">
        <v>0</v>
      </c>
      <c r="Q18" s="66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59">
        <v>0</v>
      </c>
      <c r="J19" s="60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59">
        <v>2.5</v>
      </c>
      <c r="Q19" s="67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59">
        <v>0</v>
      </c>
      <c r="J20" s="60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59">
        <v>0</v>
      </c>
      <c r="Q20" s="67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59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  <c r="Q21" s="68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1">
        <f t="shared" si="7"/>
        <v>2.5</v>
      </c>
      <c r="Q22" s="62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  <c r="Q23" s="62"/>
      <c r="R23" s="21"/>
      <c r="S23" s="21"/>
      <c r="T23" s="21"/>
      <c r="U23" s="21"/>
      <c r="V23" s="21"/>
      <c r="W23" s="21"/>
    </row>
    <row r="24" spans="1:23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3">
        <f t="shared" si="9"/>
        <v>4</v>
      </c>
      <c r="Q24" s="64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0.33</v>
      </c>
      <c r="E25" s="22">
        <f t="shared" ref="E25:I25" si="10" xml:space="preserve"> D$25 + E$19</f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3">
        <f t="shared" si="10"/>
        <v>2.66</v>
      </c>
      <c r="J25" s="64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3">
        <f t="shared" si="11"/>
        <v>11.16</v>
      </c>
      <c r="Q25" s="64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0.25</v>
      </c>
      <c r="E26" s="22">
        <f t="shared" ref="E26:I26" si="12" xml:space="preserve"> D$26 + E$20</f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3">
        <f t="shared" si="12"/>
        <v>0.25</v>
      </c>
      <c r="J26" s="64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3">
        <f t="shared" si="13"/>
        <v>1.5</v>
      </c>
      <c r="Q26" s="64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3">
        <f t="shared" si="14"/>
        <v>0</v>
      </c>
      <c r="J27" s="64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3">
        <f t="shared" si="15"/>
        <v>0</v>
      </c>
      <c r="Q27" s="64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1">
        <f t="shared" si="16"/>
        <v>2.91</v>
      </c>
      <c r="J28" s="62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1">
        <f t="shared" si="16"/>
        <v>16.66</v>
      </c>
      <c r="Q28" s="62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  <c r="Q29" s="62"/>
      <c r="R29" s="21"/>
      <c r="S29" s="21"/>
      <c r="T29" s="21"/>
      <c r="U29" s="21"/>
      <c r="V29" s="21"/>
      <c r="W29" s="21"/>
    </row>
    <row r="30" spans="1:23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3">
        <f t="shared" si="17"/>
        <v>0.2857142857142857</v>
      </c>
      <c r="J30" s="64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3">
        <f t="shared" si="17"/>
        <v>0.5</v>
      </c>
      <c r="Q30" s="64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3">
        <f t="shared" si="18"/>
        <v>0.38</v>
      </c>
      <c r="J31" s="64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3">
        <f t="shared" si="18"/>
        <v>0.83285714285714285</v>
      </c>
      <c r="Q31" s="64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3">
        <f t="shared" si="19"/>
        <v>0.17857142857142858</v>
      </c>
      <c r="J32" s="64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3">
        <f t="shared" si="19"/>
        <v>0.30357142857142855</v>
      </c>
      <c r="Q32" s="64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3">
        <f t="shared" si="20"/>
        <v>0</v>
      </c>
      <c r="J33" s="64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3">
        <f t="shared" si="20"/>
        <v>0</v>
      </c>
      <c r="Q33" s="64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1">
        <f t="shared" si="21"/>
        <v>0.84428571428571431</v>
      </c>
      <c r="J34" s="62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1">
        <f t="shared" si="21"/>
        <v>1.6364285714285713</v>
      </c>
      <c r="Q34" s="62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22" xml:space="preserve"> SUM(C7:I7) + SUM(C19:I19)</f>
        <v>2.66</v>
      </c>
      <c r="D38" s="25">
        <f t="shared" ref="D38:D40" si="23" xml:space="preserve"> SUM(J7:P7) + SUM(J19:P19)</f>
        <v>9</v>
      </c>
      <c r="E38" s="25">
        <f t="shared" ref="E38:E40" si="24" xml:space="preserve"> SUM(Q7:W7) + SUM(Q19:W19)</f>
        <v>5.4</v>
      </c>
      <c r="F38" s="25">
        <f t="shared" ref="F38:F41" si="25" xml:space="preserve"> SUM(C38:E38)</f>
        <v>17.060000000000002</v>
      </c>
    </row>
    <row r="39" spans="1:23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22"/>
        <v>1.25</v>
      </c>
      <c r="D39" s="25">
        <f t="shared" si="23"/>
        <v>3</v>
      </c>
      <c r="E39" s="25">
        <f t="shared" si="24"/>
        <v>9</v>
      </c>
      <c r="F39" s="25">
        <f t="shared" si="25"/>
        <v>13.25</v>
      </c>
    </row>
    <row r="40" spans="1:23" ht="15.75" thickBot="1" x14ac:dyDescent="0.3">
      <c r="A40" s="80"/>
      <c r="B40" s="17" t="e">
        <f xml:space="preserve"> CONCATENATE(Setup!#REF!, ", ", LEFT(Setup!#REF!,2))</f>
        <v>#REF!</v>
      </c>
      <c r="C40" s="25">
        <f t="shared" si="22"/>
        <v>0</v>
      </c>
      <c r="D40" s="25">
        <f t="shared" si="23"/>
        <v>0</v>
      </c>
      <c r="E40" s="25">
        <f t="shared" si="24"/>
        <v>0</v>
      </c>
      <c r="F40" s="25">
        <f t="shared" si="25"/>
        <v>0</v>
      </c>
    </row>
    <row r="41" spans="1:23" ht="16.5" thickBot="1" x14ac:dyDescent="0.3">
      <c r="A41" s="80"/>
      <c r="B41" s="18" t="s">
        <v>30</v>
      </c>
      <c r="C41" s="21">
        <f xml:space="preserve"> SUM(C37:C40)</f>
        <v>5.91</v>
      </c>
      <c r="D41" s="21">
        <f t="shared" ref="D41:E41" si="26" xml:space="preserve"> SUM(D37:D40)</f>
        <v>17</v>
      </c>
      <c r="E41" s="21">
        <f t="shared" si="26"/>
        <v>18.899999999999999</v>
      </c>
      <c r="F41" s="21">
        <f t="shared" si="25"/>
        <v>41.81</v>
      </c>
    </row>
    <row r="42" spans="1:23" ht="15.75" thickBot="1" x14ac:dyDescent="0.3">
      <c r="A42" s="19"/>
    </row>
    <row r="43" spans="1:23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t="shared" ref="D44:D46" si="27" xml:space="preserve"> SUM(C38:D38) / D$36</f>
        <v>5.83</v>
      </c>
      <c r="E44" s="25">
        <f t="shared" ref="E44:E46" si="28" xml:space="preserve"> SUM(C38:E38) / E$36</f>
        <v>5.6866666666666674</v>
      </c>
    </row>
    <row r="45" spans="1:23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t="shared" si="27"/>
        <v>2.125</v>
      </c>
      <c r="E45" s="25">
        <f t="shared" si="28"/>
        <v>4.416666666666667</v>
      </c>
    </row>
    <row r="46" spans="1:23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t="shared" si="27"/>
        <v>0</v>
      </c>
      <c r="E46" s="25">
        <f t="shared" si="28"/>
        <v>0</v>
      </c>
    </row>
    <row r="47" spans="1:23" ht="16.5" thickBot="1" x14ac:dyDescent="0.3">
      <c r="A47" s="80"/>
      <c r="B47" s="18" t="s">
        <v>30</v>
      </c>
      <c r="C47" s="21">
        <f xml:space="preserve"> SUM(C43:C46)</f>
        <v>5.91</v>
      </c>
      <c r="D47" s="21">
        <f t="shared" ref="D47:E47" si="29" xml:space="preserve"> SUM(D43:D46)</f>
        <v>11.455</v>
      </c>
      <c r="E47" s="21">
        <f t="shared" si="29"/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Normal="100" zoomScalePageLayoutView="115"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5">
        <f t="shared" si="0"/>
        <v>42281</v>
      </c>
      <c r="J4" s="56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5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0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1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1">
        <f t="shared" si="1"/>
        <v>2.5</v>
      </c>
      <c r="J10" s="62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3">
        <f t="shared" si="2"/>
        <v>1</v>
      </c>
      <c r="J12" s="64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3">
        <f t="shared" si="3"/>
        <v>0.5</v>
      </c>
      <c r="J13" s="64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3">
        <f t="shared" si="3"/>
        <v>2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3">
        <f t="shared" si="4"/>
        <v>3</v>
      </c>
      <c r="J14" s="64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3">
        <f t="shared" si="4"/>
        <v>4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1">
        <f t="shared" si="6"/>
        <v>4.5</v>
      </c>
      <c r="J16" s="62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1">
        <f t="shared" si="6"/>
        <v>12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1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1.5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1">
        <f t="shared" si="7"/>
        <v>1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2.5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1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3">
        <f t="shared" si="9"/>
        <v>5.75</v>
      </c>
      <c r="J25" s="64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3">
        <f t="shared" si="9"/>
        <v>7.25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0.5</v>
      </c>
      <c r="J26" s="64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3">
        <f t="shared" si="10"/>
        <v>1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1">
        <f t="shared" si="12"/>
        <v>6.25</v>
      </c>
      <c r="J28" s="62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1">
        <f t="shared" si="12"/>
        <v>9.25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3">
        <f t="shared" si="13"/>
        <v>0.14285714285714285</v>
      </c>
      <c r="J30" s="64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3">
        <f t="shared" si="14"/>
        <v>0.8928571428571429</v>
      </c>
      <c r="J31" s="64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3">
        <f t="shared" si="14"/>
        <v>0.6607142857142857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3">
        <f t="shared" si="15"/>
        <v>0.5</v>
      </c>
      <c r="J32" s="64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3">
        <f t="shared" si="15"/>
        <v>0.35714285714285715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1">
        <f t="shared" si="17"/>
        <v>1.5357142857142858</v>
      </c>
      <c r="J34" s="62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1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6.25</v>
      </c>
      <c r="D38" s="25">
        <f t="shared" ref="D38:D40" si="19"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3.5</v>
      </c>
      <c r="D39" s="25">
        <f t="shared" si="19"/>
        <v>1.5</v>
      </c>
      <c r="E39" s="25">
        <f xml:space="preserve"> SUM(C39:D39)</f>
        <v>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10.75</v>
      </c>
      <c r="D41" s="21">
        <f t="shared" ref="D41" si="20"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6.25</v>
      </c>
      <c r="D44" s="25">
        <f t="shared" ref="D44:D46" si="22" xml:space="preserve"> SUM(C38:D38) / D$36</f>
        <v>4.625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3.5</v>
      </c>
      <c r="D45" s="25">
        <f t="shared" si="22"/>
        <v>2.5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10.75</v>
      </c>
      <c r="D47" s="21">
        <f t="shared" ref="D47" si="23"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5">
        <f t="shared" si="0"/>
        <v>42295</v>
      </c>
      <c r="J4" s="56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5">
        <f t="shared" si="0"/>
        <v>42302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0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59">
        <v>5.5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59">
        <v>4.0030000000000001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0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1">
        <f t="shared" si="1"/>
        <v>6.0670000000000002</v>
      </c>
      <c r="J10" s="62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1">
        <f t="shared" si="1"/>
        <v>9.5030000000000001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3">
        <f t="shared" si="2"/>
        <v>5</v>
      </c>
      <c r="J12" s="64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3">
        <f t="shared" si="2"/>
        <v>15.5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3">
        <f t="shared" si="3"/>
        <v>14.003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5.0670000000000002</v>
      </c>
      <c r="J14" s="64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3">
        <f t="shared" si="4"/>
        <v>10.567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1">
        <f t="shared" si="6"/>
        <v>12.067</v>
      </c>
      <c r="J16" s="62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1">
        <f t="shared" si="6"/>
        <v>40.07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3">
        <f t="shared" si="13"/>
        <v>0.7142857142857143</v>
      </c>
      <c r="J30" s="64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3">
        <f t="shared" si="13"/>
        <v>1.1071428571428572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3">
        <f t="shared" si="14"/>
        <v>1.0002142857142857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0.72385714285714287</v>
      </c>
      <c r="J32" s="64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3">
        <f t="shared" si="15"/>
        <v>0.75478571428571428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1">
        <f t="shared" si="17"/>
        <v>1.7238571428571428</v>
      </c>
      <c r="J34" s="62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1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5.0670000000000002</v>
      </c>
      <c r="D39" s="25">
        <f t="shared" si="19"/>
        <v>5.5</v>
      </c>
      <c r="E39" s="25">
        <f xml:space="preserve"> SUM(C39:D39)</f>
        <v>10.567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12.067</v>
      </c>
      <c r="D41" s="21">
        <f t="shared" ref="D41" si="20"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7.0015000000000001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5.0670000000000002</v>
      </c>
      <c r="D45" s="25">
        <f t="shared" si="22"/>
        <v>5.2835000000000001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12.067</v>
      </c>
      <c r="D47" s="21">
        <f t="shared" ref="D47" si="23"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5">
        <f t="shared" si="0"/>
        <v>42309</v>
      </c>
      <c r="J4" s="56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5">
        <f t="shared" si="0"/>
        <v>42316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0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59">
        <v>2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0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59">
        <v>3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0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1">
        <f t="shared" si="1"/>
        <v>9</v>
      </c>
      <c r="J10" s="62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5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11</v>
      </c>
      <c r="J12" s="64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3">
        <f t="shared" si="3"/>
        <v>11</v>
      </c>
      <c r="J13" s="64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19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3">
        <f t="shared" si="4"/>
        <v>6</v>
      </c>
      <c r="J14" s="64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3">
        <f t="shared" si="4"/>
        <v>11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1">
        <f t="shared" si="6"/>
        <v>28</v>
      </c>
      <c r="J16" s="62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1">
        <f t="shared" si="6"/>
        <v>50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1.5714285714285714</v>
      </c>
      <c r="J30" s="64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3">
        <f t="shared" si="14"/>
        <v>1.5714285714285714</v>
      </c>
      <c r="J31" s="64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1.3571428571428572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3">
        <f t="shared" si="15"/>
        <v>0.8571428571428571</v>
      </c>
      <c r="J32" s="64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3">
        <f t="shared" si="15"/>
        <v>0.7857142857142857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1">
        <f t="shared" si="17"/>
        <v>4</v>
      </c>
      <c r="J34" s="62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1">
        <f t="shared" si="17"/>
        <v>3.5714285714285712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28</v>
      </c>
      <c r="D41" s="21">
        <f t="shared" ref="D41" si="18" xml:space="preserve"> SUM(D37:D40)</f>
        <v>22</v>
      </c>
      <c r="E41" s="21">
        <f xml:space="preserve"> SUM(C41:D41)</f>
        <v>50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19" xml:space="preserve"> C38 / C$36</f>
        <v>11</v>
      </c>
      <c r="D44" s="25">
        <f t="shared" ref="D44:D46" si="20" xml:space="preserve"> SUM(C38:D38) / D$36</f>
        <v>9.5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19"/>
        <v>6</v>
      </c>
      <c r="D45" s="25">
        <f t="shared" si="20"/>
        <v>5.5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19"/>
        <v>0</v>
      </c>
      <c r="D46" s="25">
        <f t="shared" si="20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28</v>
      </c>
      <c r="D47" s="21">
        <f t="shared" ref="D47" si="21"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S13" sqref="S1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5">
        <f t="shared" si="0"/>
        <v>42323</v>
      </c>
      <c r="J4" s="56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5">
        <f t="shared" si="0"/>
        <v>42330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6</v>
      </c>
      <c r="J6" s="60">
        <v>5</v>
      </c>
      <c r="K6" s="33">
        <v>4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4</v>
      </c>
      <c r="K7" s="33">
        <v>0</v>
      </c>
      <c r="L7" s="33">
        <v>2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/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2</v>
      </c>
      <c r="I10" s="61">
        <f t="shared" si="1"/>
        <v>6</v>
      </c>
      <c r="J10" s="62">
        <f t="shared" si="1"/>
        <v>9</v>
      </c>
      <c r="K10" s="21">
        <f t="shared" si="1"/>
        <v>4</v>
      </c>
      <c r="L10" s="21">
        <f t="shared" si="1"/>
        <v>2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6</v>
      </c>
      <c r="J12" s="64">
        <f t="shared" si="2"/>
        <v>11</v>
      </c>
      <c r="K12" s="22">
        <f t="shared" si="2"/>
        <v>15</v>
      </c>
      <c r="L12" s="22">
        <f t="shared" si="2"/>
        <v>15</v>
      </c>
      <c r="M12" s="22">
        <f t="shared" si="2"/>
        <v>15</v>
      </c>
      <c r="N12" s="22">
        <f t="shared" si="2"/>
        <v>15</v>
      </c>
      <c r="O12" s="22">
        <f t="shared" si="2"/>
        <v>15</v>
      </c>
      <c r="P12" s="63">
        <f t="shared" si="2"/>
        <v>15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6</v>
      </c>
      <c r="K13" s="22">
        <f t="shared" si="3"/>
        <v>6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2</v>
      </c>
      <c r="I16" s="61">
        <f t="shared" si="6"/>
        <v>8</v>
      </c>
      <c r="J16" s="62">
        <f t="shared" si="6"/>
        <v>17</v>
      </c>
      <c r="K16" s="21">
        <f t="shared" si="6"/>
        <v>21</v>
      </c>
      <c r="L16" s="21">
        <f t="shared" si="6"/>
        <v>23</v>
      </c>
      <c r="M16" s="21">
        <f t="shared" si="6"/>
        <v>23</v>
      </c>
      <c r="N16" s="21">
        <f t="shared" si="6"/>
        <v>23</v>
      </c>
      <c r="O16" s="21">
        <f t="shared" si="6"/>
        <v>23</v>
      </c>
      <c r="P16" s="61">
        <f t="shared" si="6"/>
        <v>23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2</v>
      </c>
      <c r="I20" s="34">
        <v>0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2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2</v>
      </c>
      <c r="I26" s="63">
        <f t="shared" si="10"/>
        <v>2</v>
      </c>
      <c r="J26" s="64">
        <f t="shared" si="10"/>
        <v>2</v>
      </c>
      <c r="K26" s="22">
        <f t="shared" si="10"/>
        <v>2</v>
      </c>
      <c r="L26" s="22">
        <f t="shared" si="10"/>
        <v>2.5</v>
      </c>
      <c r="M26" s="22">
        <f t="shared" si="10"/>
        <v>2.5</v>
      </c>
      <c r="N26" s="22">
        <f t="shared" si="10"/>
        <v>2.5</v>
      </c>
      <c r="O26" s="22">
        <f t="shared" si="10"/>
        <v>2.5</v>
      </c>
      <c r="P26" s="63">
        <f t="shared" si="10"/>
        <v>2.5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2</v>
      </c>
      <c r="I28" s="61">
        <f t="shared" si="12"/>
        <v>2</v>
      </c>
      <c r="J28" s="62">
        <f t="shared" si="12"/>
        <v>2</v>
      </c>
      <c r="K28" s="21">
        <f t="shared" si="12"/>
        <v>2</v>
      </c>
      <c r="L28" s="21">
        <f t="shared" si="12"/>
        <v>2.5</v>
      </c>
      <c r="M28" s="21">
        <f t="shared" si="12"/>
        <v>2.5</v>
      </c>
      <c r="N28" s="21">
        <f t="shared" si="12"/>
        <v>2.5</v>
      </c>
      <c r="O28" s="21">
        <f t="shared" si="12"/>
        <v>2.5</v>
      </c>
      <c r="P28" s="61">
        <f t="shared" si="12"/>
        <v>2.5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0.8571428571428571</v>
      </c>
      <c r="J30" s="64">
        <f t="shared" si="13"/>
        <v>1.375</v>
      </c>
      <c r="K30" s="22">
        <f t="shared" si="13"/>
        <v>1.6666666666666667</v>
      </c>
      <c r="L30" s="22">
        <f t="shared" si="13"/>
        <v>1.5</v>
      </c>
      <c r="M30" s="22">
        <f t="shared" si="13"/>
        <v>1.3636363636363635</v>
      </c>
      <c r="N30" s="22">
        <f t="shared" si="13"/>
        <v>1.25</v>
      </c>
      <c r="O30" s="22">
        <f t="shared" si="13"/>
        <v>1.1538461538461537</v>
      </c>
      <c r="P30" s="63">
        <f t="shared" si="13"/>
        <v>1.0714285714285714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0.75</v>
      </c>
      <c r="K31" s="22">
        <f t="shared" si="14"/>
        <v>0.66666666666666663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0.33333333333333331</v>
      </c>
      <c r="I32" s="63">
        <f t="shared" si="15"/>
        <v>0.2857142857142857</v>
      </c>
      <c r="J32" s="64">
        <f t="shared" si="15"/>
        <v>0.25</v>
      </c>
      <c r="K32" s="22">
        <f t="shared" si="15"/>
        <v>0.22222222222222221</v>
      </c>
      <c r="L32" s="22">
        <f t="shared" si="15"/>
        <v>0.25</v>
      </c>
      <c r="M32" s="22">
        <f t="shared" si="15"/>
        <v>0.22727272727272727</v>
      </c>
      <c r="N32" s="22">
        <f t="shared" si="15"/>
        <v>0.20833333333333334</v>
      </c>
      <c r="O32" s="22">
        <f t="shared" si="15"/>
        <v>0.19230769230769232</v>
      </c>
      <c r="P32" s="63">
        <f t="shared" si="15"/>
        <v>0.17857142857142858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0.66666666666666663</v>
      </c>
      <c r="I34" s="61">
        <f t="shared" si="17"/>
        <v>1.4285714285714284</v>
      </c>
      <c r="J34" s="62">
        <f t="shared" si="17"/>
        <v>2.375</v>
      </c>
      <c r="K34" s="21">
        <f t="shared" si="17"/>
        <v>2.5555555555555558</v>
      </c>
      <c r="L34" s="21">
        <f t="shared" si="17"/>
        <v>2.5499999999999998</v>
      </c>
      <c r="M34" s="21">
        <f t="shared" si="17"/>
        <v>2.3181818181818179</v>
      </c>
      <c r="N34" s="21">
        <f t="shared" si="17"/>
        <v>2.125</v>
      </c>
      <c r="O34" s="21">
        <f t="shared" si="17"/>
        <v>1.9615384615384615</v>
      </c>
      <c r="P34" s="61">
        <f t="shared" si="17"/>
        <v>1.8214285714285714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9</v>
      </c>
      <c r="E37" s="25">
        <f xml:space="preserve"> SUM(C37:D37)</f>
        <v>15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2</v>
      </c>
      <c r="D38" s="25">
        <f t="shared" ref="D38:D40" si="19" xml:space="preserve"> SUM(J7:P7) + SUM(J19:P19)</f>
        <v>6</v>
      </c>
      <c r="E38" s="25">
        <f xml:space="preserve"> SUM(C38:D38)</f>
        <v>8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2</v>
      </c>
      <c r="D39" s="25">
        <f t="shared" si="19"/>
        <v>0.5</v>
      </c>
      <c r="E39" s="25">
        <f xml:space="preserve"> SUM(C39:D39)</f>
        <v>2.5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</v>
      </c>
      <c r="D41" s="21">
        <f t="shared" ref="D41" si="20" xml:space="preserve"> SUM(D37:D40)</f>
        <v>15.5</v>
      </c>
      <c r="E41" s="21">
        <f xml:space="preserve"> SUM(C41:D41)</f>
        <v>25.5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7.5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2</v>
      </c>
      <c r="D44" s="25">
        <f t="shared" ref="D44:D46" si="22" xml:space="preserve"> SUM(C38:D38) / D$36</f>
        <v>4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2</v>
      </c>
      <c r="D45" s="25">
        <f t="shared" si="22"/>
        <v>1.25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</v>
      </c>
      <c r="D47" s="21">
        <f t="shared" ref="D47" si="23" xml:space="preserve"> SUM(D43:D46)</f>
        <v>12.75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61" zoomScale="115" zoomScaleNormal="115" zoomScalePageLayoutView="115" workbookViewId="0">
      <selection activeCell="P6" sqref="P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5">
        <f t="shared" si="0"/>
        <v>42386</v>
      </c>
      <c r="J4" s="56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5">
        <f t="shared" si="0"/>
        <v>42393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1.5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2</v>
      </c>
      <c r="N6" s="33">
        <v>2</v>
      </c>
      <c r="O6" s="33">
        <v>0</v>
      </c>
      <c r="P6" s="59">
        <v>8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2</v>
      </c>
      <c r="F7" s="34">
        <v>7</v>
      </c>
      <c r="G7" s="34">
        <v>0</v>
      </c>
      <c r="H7" s="34">
        <v>0</v>
      </c>
      <c r="I7" s="34">
        <v>1</v>
      </c>
      <c r="J7" s="60">
        <v>3</v>
      </c>
      <c r="K7" s="33">
        <v>0</v>
      </c>
      <c r="L7" s="33">
        <v>3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4</v>
      </c>
      <c r="F8" s="34">
        <v>2</v>
      </c>
      <c r="G8" s="34">
        <v>0</v>
      </c>
      <c r="H8" s="34">
        <v>4</v>
      </c>
      <c r="I8" s="34">
        <v>2</v>
      </c>
      <c r="J8" s="60">
        <v>0</v>
      </c>
      <c r="K8" s="33">
        <v>2</v>
      </c>
      <c r="L8" s="33">
        <v>0</v>
      </c>
      <c r="M8" s="33">
        <v>2</v>
      </c>
      <c r="N8" s="33">
        <v>0</v>
      </c>
      <c r="O8" s="33">
        <v>1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7.5</v>
      </c>
      <c r="F10" s="21">
        <f t="shared" si="1"/>
        <v>9</v>
      </c>
      <c r="G10" s="21">
        <f t="shared" si="1"/>
        <v>0</v>
      </c>
      <c r="H10" s="21">
        <f t="shared" si="1"/>
        <v>4</v>
      </c>
      <c r="I10" s="61">
        <f t="shared" si="1"/>
        <v>3</v>
      </c>
      <c r="J10" s="62">
        <f t="shared" si="1"/>
        <v>3</v>
      </c>
      <c r="K10" s="21">
        <f t="shared" si="1"/>
        <v>2</v>
      </c>
      <c r="L10" s="21">
        <f t="shared" si="1"/>
        <v>3</v>
      </c>
      <c r="M10" s="21">
        <f t="shared" si="1"/>
        <v>4</v>
      </c>
      <c r="N10" s="21">
        <f t="shared" si="1"/>
        <v>2</v>
      </c>
      <c r="O10" s="21">
        <f t="shared" si="1"/>
        <v>1</v>
      </c>
      <c r="P10" s="61">
        <f t="shared" si="1"/>
        <v>8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1.5</v>
      </c>
      <c r="F12" s="22">
        <f t="shared" si="2"/>
        <v>1.5</v>
      </c>
      <c r="G12" s="22">
        <f t="shared" si="2"/>
        <v>1.5</v>
      </c>
      <c r="H12" s="22">
        <f t="shared" si="2"/>
        <v>1.5</v>
      </c>
      <c r="I12" s="63">
        <f t="shared" si="2"/>
        <v>1.5</v>
      </c>
      <c r="J12" s="64">
        <f t="shared" si="2"/>
        <v>1.5</v>
      </c>
      <c r="K12" s="22">
        <f t="shared" si="2"/>
        <v>1.5</v>
      </c>
      <c r="L12" s="22">
        <f t="shared" si="2"/>
        <v>1.5</v>
      </c>
      <c r="M12" s="22">
        <f t="shared" si="2"/>
        <v>3.5</v>
      </c>
      <c r="N12" s="22">
        <f t="shared" si="2"/>
        <v>5.5</v>
      </c>
      <c r="O12" s="22">
        <f t="shared" si="2"/>
        <v>5.5</v>
      </c>
      <c r="P12" s="63">
        <f t="shared" si="2"/>
        <v>13.5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2</v>
      </c>
      <c r="F13" s="22">
        <f t="shared" si="3"/>
        <v>9</v>
      </c>
      <c r="G13" s="22">
        <f t="shared" si="3"/>
        <v>9</v>
      </c>
      <c r="H13" s="22">
        <f t="shared" si="3"/>
        <v>9</v>
      </c>
      <c r="I13" s="63">
        <f t="shared" si="3"/>
        <v>10</v>
      </c>
      <c r="J13" s="64">
        <f t="shared" si="3"/>
        <v>13</v>
      </c>
      <c r="K13" s="22">
        <f t="shared" si="3"/>
        <v>13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16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4</v>
      </c>
      <c r="F14" s="22">
        <f t="shared" si="4"/>
        <v>6</v>
      </c>
      <c r="G14" s="22">
        <f t="shared" si="4"/>
        <v>6</v>
      </c>
      <c r="H14" s="22">
        <f t="shared" si="4"/>
        <v>10</v>
      </c>
      <c r="I14" s="63">
        <f t="shared" si="4"/>
        <v>12</v>
      </c>
      <c r="J14" s="64">
        <f t="shared" si="4"/>
        <v>12</v>
      </c>
      <c r="K14" s="22">
        <f t="shared" si="4"/>
        <v>14</v>
      </c>
      <c r="L14" s="22">
        <f t="shared" si="4"/>
        <v>14</v>
      </c>
      <c r="M14" s="22">
        <f t="shared" si="4"/>
        <v>16</v>
      </c>
      <c r="N14" s="22">
        <f t="shared" si="4"/>
        <v>16</v>
      </c>
      <c r="O14" s="22">
        <f t="shared" si="4"/>
        <v>17</v>
      </c>
      <c r="P14" s="63">
        <f t="shared" si="4"/>
        <v>17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7.5</v>
      </c>
      <c r="F16" s="21">
        <f t="shared" si="6"/>
        <v>16.5</v>
      </c>
      <c r="G16" s="21">
        <f t="shared" si="6"/>
        <v>16.5</v>
      </c>
      <c r="H16" s="21">
        <f t="shared" si="6"/>
        <v>20.5</v>
      </c>
      <c r="I16" s="61">
        <f t="shared" si="6"/>
        <v>23.5</v>
      </c>
      <c r="J16" s="62">
        <f t="shared" si="6"/>
        <v>26.5</v>
      </c>
      <c r="K16" s="21">
        <f t="shared" si="6"/>
        <v>28.5</v>
      </c>
      <c r="L16" s="21">
        <f t="shared" si="6"/>
        <v>31.5</v>
      </c>
      <c r="M16" s="21">
        <f t="shared" si="6"/>
        <v>35.5</v>
      </c>
      <c r="N16" s="21">
        <f t="shared" si="6"/>
        <v>37.5</v>
      </c>
      <c r="O16" s="21">
        <f t="shared" si="6"/>
        <v>38.5</v>
      </c>
      <c r="P16" s="61">
        <f t="shared" si="6"/>
        <v>46.5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0.5</v>
      </c>
      <c r="F30" s="22">
        <f t="shared" si="13"/>
        <v>0.375</v>
      </c>
      <c r="G30" s="22">
        <f t="shared" si="13"/>
        <v>0.3</v>
      </c>
      <c r="H30" s="22">
        <f t="shared" si="13"/>
        <v>0.25</v>
      </c>
      <c r="I30" s="63">
        <f t="shared" si="13"/>
        <v>0.21428571428571427</v>
      </c>
      <c r="J30" s="64">
        <f t="shared" si="13"/>
        <v>0.1875</v>
      </c>
      <c r="K30" s="22">
        <f t="shared" si="13"/>
        <v>0.16666666666666666</v>
      </c>
      <c r="L30" s="22">
        <f t="shared" si="13"/>
        <v>0.15</v>
      </c>
      <c r="M30" s="22">
        <f t="shared" si="13"/>
        <v>0.31818181818181818</v>
      </c>
      <c r="N30" s="22">
        <f t="shared" si="13"/>
        <v>0.45833333333333331</v>
      </c>
      <c r="O30" s="22">
        <f t="shared" si="13"/>
        <v>0.42307692307692307</v>
      </c>
      <c r="P30" s="63">
        <f t="shared" si="13"/>
        <v>0.9642857142857143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0.66666666666666663</v>
      </c>
      <c r="F31" s="22">
        <f t="shared" si="14"/>
        <v>2.25</v>
      </c>
      <c r="G31" s="22">
        <f t="shared" si="14"/>
        <v>1.8</v>
      </c>
      <c r="H31" s="22">
        <f t="shared" si="14"/>
        <v>1.5</v>
      </c>
      <c r="I31" s="63">
        <f t="shared" si="14"/>
        <v>1.4285714285714286</v>
      </c>
      <c r="J31" s="64">
        <f t="shared" si="14"/>
        <v>1.625</v>
      </c>
      <c r="K31" s="22">
        <f t="shared" si="14"/>
        <v>1.4444444444444444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1.1428571428571428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1.3333333333333333</v>
      </c>
      <c r="F32" s="22">
        <f t="shared" si="15"/>
        <v>1.5</v>
      </c>
      <c r="G32" s="22">
        <f t="shared" si="15"/>
        <v>1.2</v>
      </c>
      <c r="H32" s="22">
        <f t="shared" si="15"/>
        <v>1.6666666666666667</v>
      </c>
      <c r="I32" s="63">
        <f t="shared" si="15"/>
        <v>1.7142857142857142</v>
      </c>
      <c r="J32" s="64">
        <f t="shared" si="15"/>
        <v>1.5</v>
      </c>
      <c r="K32" s="22">
        <f t="shared" si="15"/>
        <v>1.5555555555555556</v>
      </c>
      <c r="L32" s="22">
        <f t="shared" si="15"/>
        <v>1.4</v>
      </c>
      <c r="M32" s="22">
        <f t="shared" si="15"/>
        <v>1.4545454545454546</v>
      </c>
      <c r="N32" s="22">
        <f t="shared" si="15"/>
        <v>1.3333333333333333</v>
      </c>
      <c r="O32" s="22">
        <f t="shared" si="15"/>
        <v>1.3076923076923077</v>
      </c>
      <c r="P32" s="63">
        <f t="shared" si="15"/>
        <v>1.2142857142857142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2.5</v>
      </c>
      <c r="F34" s="21">
        <f t="shared" si="17"/>
        <v>4.125</v>
      </c>
      <c r="G34" s="21">
        <f t="shared" si="17"/>
        <v>3.3</v>
      </c>
      <c r="H34" s="21">
        <f t="shared" si="17"/>
        <v>3.416666666666667</v>
      </c>
      <c r="I34" s="61">
        <f t="shared" si="17"/>
        <v>3.3571428571428568</v>
      </c>
      <c r="J34" s="62">
        <f t="shared" si="17"/>
        <v>3.3125</v>
      </c>
      <c r="K34" s="21">
        <f t="shared" si="17"/>
        <v>3.166666666666667</v>
      </c>
      <c r="L34" s="21">
        <f t="shared" si="17"/>
        <v>3.15</v>
      </c>
      <c r="M34" s="21">
        <f t="shared" si="17"/>
        <v>3.2272727272727275</v>
      </c>
      <c r="N34" s="21">
        <f t="shared" si="17"/>
        <v>3.125</v>
      </c>
      <c r="O34" s="21">
        <f t="shared" si="17"/>
        <v>2.9615384615384617</v>
      </c>
      <c r="P34" s="61">
        <f t="shared" si="17"/>
        <v>3.3214285714285712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1.5</v>
      </c>
      <c r="D37" s="25">
        <f xml:space="preserve"> SUM(J6:P6) + SUM(J18:P18)</f>
        <v>12</v>
      </c>
      <c r="E37" s="25">
        <f xml:space="preserve"> SUM(C37:D37)</f>
        <v>13.5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10</v>
      </c>
      <c r="D38" s="25">
        <f t="shared" ref="D38:D40" si="19" xml:space="preserve"> SUM(J7:P7) + SUM(J19:P19)</f>
        <v>6</v>
      </c>
      <c r="E38" s="25">
        <f xml:space="preserve"> SUM(C38:D38)</f>
        <v>16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12</v>
      </c>
      <c r="D39" s="25">
        <f t="shared" si="19"/>
        <v>5</v>
      </c>
      <c r="E39" s="25">
        <f xml:space="preserve"> SUM(C39:D39)</f>
        <v>17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23.5</v>
      </c>
      <c r="D41" s="21">
        <f t="shared" ref="D41" si="20" xml:space="preserve"> SUM(D37:D40)</f>
        <v>23</v>
      </c>
      <c r="E41" s="21">
        <f xml:space="preserve"> SUM(C41:D41)</f>
        <v>46.5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1.5</v>
      </c>
      <c r="D43" s="25">
        <f xml:space="preserve"> SUM(C37:D37) / D$36</f>
        <v>6.75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10</v>
      </c>
      <c r="D44" s="25">
        <f t="shared" ref="D44:D46" si="22" xml:space="preserve"> SUM(C38:D38) / D$36</f>
        <v>8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12</v>
      </c>
      <c r="D45" s="25">
        <f t="shared" si="22"/>
        <v>8.5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23.5</v>
      </c>
      <c r="D47" s="21">
        <f t="shared" ref="D47" si="23" xml:space="preserve"> SUM(D43:D46)</f>
        <v>23.25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5">
        <f t="shared" si="0"/>
        <v>42400</v>
      </c>
      <c r="J4" s="56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5">
        <f t="shared" si="0"/>
        <v>42407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5">
        <f t="shared" si="0"/>
        <v>42414</v>
      </c>
      <c r="J4" s="56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5">
        <f t="shared" si="0"/>
        <v>42421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5">
        <f t="shared" si="0"/>
        <v>42428</v>
      </c>
      <c r="J4" s="56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5">
        <f t="shared" si="0"/>
        <v>42435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+ 63</f>
        <v>42443</v>
      </c>
      <c r="D4" s="15">
        <f xml:space="preserve"> C$4 + 1</f>
        <v>42444</v>
      </c>
      <c r="E4" s="15">
        <f t="shared" ref="E4:P4" si="0" xml:space="preserve"> D$4 + 1</f>
        <v>42445</v>
      </c>
      <c r="F4" s="15">
        <f t="shared" si="0"/>
        <v>42446</v>
      </c>
      <c r="G4" s="15">
        <f t="shared" si="0"/>
        <v>42447</v>
      </c>
      <c r="H4" s="15">
        <f t="shared" si="0"/>
        <v>42448</v>
      </c>
      <c r="I4" s="55">
        <f t="shared" si="0"/>
        <v>42449</v>
      </c>
      <c r="J4" s="56">
        <f t="shared" si="0"/>
        <v>42450</v>
      </c>
      <c r="K4" s="15">
        <f t="shared" si="0"/>
        <v>42451</v>
      </c>
      <c r="L4" s="15">
        <f t="shared" si="0"/>
        <v>42452</v>
      </c>
      <c r="M4" s="15">
        <f t="shared" si="0"/>
        <v>42453</v>
      </c>
      <c r="N4" s="15">
        <f t="shared" si="0"/>
        <v>42454</v>
      </c>
      <c r="O4" s="15">
        <f t="shared" si="0"/>
        <v>42455</v>
      </c>
      <c r="P4" s="55">
        <f t="shared" si="0"/>
        <v>42456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10"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+ 77</f>
        <v>42457</v>
      </c>
      <c r="D4" s="15">
        <f xml:space="preserve"> C$4 + 1</f>
        <v>42458</v>
      </c>
      <c r="E4" s="15">
        <f t="shared" ref="E4:P4" si="0" xml:space="preserve"> D$4 + 1</f>
        <v>42459</v>
      </c>
      <c r="F4" s="15">
        <f t="shared" si="0"/>
        <v>42460</v>
      </c>
      <c r="G4" s="15">
        <f t="shared" si="0"/>
        <v>42461</v>
      </c>
      <c r="H4" s="15">
        <f t="shared" si="0"/>
        <v>42462</v>
      </c>
      <c r="I4" s="55">
        <f t="shared" si="0"/>
        <v>42463</v>
      </c>
      <c r="J4" s="56">
        <f t="shared" si="0"/>
        <v>42464</v>
      </c>
      <c r="K4" s="15">
        <f t="shared" si="0"/>
        <v>42465</v>
      </c>
      <c r="L4" s="15">
        <f t="shared" si="0"/>
        <v>42466</v>
      </c>
      <c r="M4" s="15">
        <f t="shared" si="0"/>
        <v>42467</v>
      </c>
      <c r="N4" s="15">
        <f t="shared" si="0"/>
        <v>42468</v>
      </c>
      <c r="O4" s="15">
        <f t="shared" si="0"/>
        <v>42469</v>
      </c>
      <c r="P4" s="55">
        <f t="shared" si="0"/>
        <v>42470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t="shared" ref="C38:C40" si="18" xml:space="preserve"> SUM(C7:I7) + SUM(C19:I19)</f>
        <v>0</v>
      </c>
      <c r="D38" s="25">
        <f t="shared" ref="D38:D40" si="19"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t="shared" si="18"/>
        <v>0</v>
      </c>
      <c r="D39" s="25">
        <f t="shared" si="19"/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t="shared" si="18"/>
        <v>0</v>
      </c>
      <c r="D40" s="25">
        <f t="shared" si="19"/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t="shared" ref="C44:C46" si="21" xml:space="preserve"> C38 / C$36</f>
        <v>0</v>
      </c>
      <c r="D44" s="25">
        <f t="shared" ref="D44:D46" si="22"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t="shared" si="21"/>
        <v>0</v>
      </c>
      <c r="D45" s="25">
        <f t="shared" si="22"/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t="shared" si="21"/>
        <v>0</v>
      </c>
      <c r="D46" s="25">
        <f t="shared" si="22"/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2016-02-02T03:57:54Z</dcterms:modified>
</cp:coreProperties>
</file>
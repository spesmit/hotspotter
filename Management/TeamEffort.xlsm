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ml.chartshapes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7.xml" ContentType="application/vnd.openxmlformats-officedocument.drawingml.chartshapes+xml"/>
  <Override PartName="/xl/drawings/drawing1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9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0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1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2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ml.chartshapes+xml"/>
  <Override PartName="/xl/drawings/drawing24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5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7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8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9.xml" ContentType="application/vnd.openxmlformats-officedocument.drawingml.chartshapes+xml"/>
  <Override PartName="/xl/drawings/drawing30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1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32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33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4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7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8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9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40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41.xml" ContentType="application/vnd.openxmlformats-officedocument.drawingml.chartshapes+xml"/>
  <Override PartName="/xl/drawings/drawing42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43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44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45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6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9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50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51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52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55.xml" ContentType="application/vnd.openxmlformats-officedocument.drawingml.chartshape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56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7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8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61.xml" ContentType="application/vnd.openxmlformats-officedocument.drawingml.chartshapes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62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63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64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67.xml" ContentType="application/vnd.openxmlformats-officedocument.drawingml.chartshapes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8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9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70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autoCompressPictures="0" defaultThemeVersion="124226"/>
  <bookViews>
    <workbookView xWindow="14400" yWindow="0" windowWidth="14400" windowHeight="16515" tabRatio="893" firstSheet="1" activeTab="8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 concurrentCalc="0"/>
  <fileRecoveryPr repairLoad="1"/>
</workbook>
</file>

<file path=xl/calcChain.xml><?xml version="1.0" encoding="utf-8"?>
<calcChain xmlns="http://schemas.openxmlformats.org/spreadsheetml/2006/main">
  <c r="C4" i="50" l="1"/>
  <c r="C4" i="49"/>
  <c r="C4" i="48"/>
  <c r="C4" i="47"/>
  <c r="C4" i="46"/>
  <c r="C4" i="45"/>
  <c r="C4" i="44"/>
  <c r="C4" i="42"/>
  <c r="C26" i="43"/>
  <c r="D26" i="43"/>
  <c r="L7" i="1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J7" i="1"/>
  <c r="J13" i="1"/>
  <c r="J19" i="1"/>
  <c r="K7" i="1"/>
  <c r="K13" i="1"/>
  <c r="K19" i="1"/>
  <c r="L13" i="1"/>
  <c r="L19" i="1"/>
  <c r="M7" i="1"/>
  <c r="M13" i="1"/>
  <c r="M19" i="1"/>
  <c r="N7" i="1"/>
  <c r="N13" i="1"/>
  <c r="N19" i="1"/>
  <c r="O7" i="1"/>
  <c r="O13" i="1"/>
  <c r="O19" i="1"/>
  <c r="P7" i="1"/>
  <c r="P13" i="1"/>
  <c r="P19" i="1"/>
  <c r="Q7" i="1"/>
  <c r="Q13" i="1"/>
  <c r="Q19" i="1"/>
  <c r="R7" i="1"/>
  <c r="R13" i="1"/>
  <c r="R19" i="1"/>
  <c r="S7" i="1"/>
  <c r="S13" i="1"/>
  <c r="S19" i="1"/>
  <c r="T7" i="1"/>
  <c r="T13" i="1"/>
  <c r="T19" i="1"/>
  <c r="U7" i="1"/>
  <c r="U13" i="1"/>
  <c r="U19" i="1"/>
  <c r="V7" i="1"/>
  <c r="V13" i="1"/>
  <c r="V19" i="1"/>
  <c r="W7" i="1"/>
  <c r="W13" i="1"/>
  <c r="W19" i="1"/>
  <c r="X7" i="1"/>
  <c r="X13" i="1"/>
  <c r="X19" i="1"/>
  <c r="Y7" i="1"/>
  <c r="Y13" i="1"/>
  <c r="Y19" i="1"/>
  <c r="L8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J8" i="1"/>
  <c r="J14" i="1"/>
  <c r="J20" i="1"/>
  <c r="K8" i="1"/>
  <c r="K14" i="1"/>
  <c r="K20" i="1"/>
  <c r="L14" i="1"/>
  <c r="L20" i="1"/>
  <c r="M8" i="1"/>
  <c r="M14" i="1"/>
  <c r="M20" i="1"/>
  <c r="N8" i="1"/>
  <c r="N14" i="1"/>
  <c r="N20" i="1"/>
  <c r="O8" i="1"/>
  <c r="O14" i="1"/>
  <c r="O20" i="1"/>
  <c r="P8" i="1"/>
  <c r="P14" i="1"/>
  <c r="P20" i="1"/>
  <c r="Q8" i="1"/>
  <c r="Q14" i="1"/>
  <c r="Q20" i="1"/>
  <c r="R8" i="1"/>
  <c r="R14" i="1"/>
  <c r="R20" i="1"/>
  <c r="S8" i="1"/>
  <c r="S14" i="1"/>
  <c r="S20" i="1"/>
  <c r="T8" i="1"/>
  <c r="T14" i="1"/>
  <c r="T20" i="1"/>
  <c r="U8" i="1"/>
  <c r="U14" i="1"/>
  <c r="U20" i="1"/>
  <c r="V8" i="1"/>
  <c r="V14" i="1"/>
  <c r="V20" i="1"/>
  <c r="W8" i="1"/>
  <c r="W14" i="1"/>
  <c r="W20" i="1"/>
  <c r="X8" i="1"/>
  <c r="X14" i="1"/>
  <c r="X20" i="1"/>
  <c r="Y8" i="1"/>
  <c r="Y14" i="1"/>
  <c r="Y20" i="1"/>
  <c r="M9" i="1"/>
  <c r="M15" i="1"/>
  <c r="L15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J9" i="1"/>
  <c r="J15" i="1"/>
  <c r="J21" i="1"/>
  <c r="K9" i="1"/>
  <c r="K15" i="1"/>
  <c r="K21" i="1"/>
  <c r="L9" i="1"/>
  <c r="L21" i="1"/>
  <c r="M21" i="1"/>
  <c r="N9" i="1"/>
  <c r="N15" i="1"/>
  <c r="N21" i="1"/>
  <c r="O9" i="1"/>
  <c r="O15" i="1"/>
  <c r="O21" i="1"/>
  <c r="P9" i="1"/>
  <c r="P15" i="1"/>
  <c r="P21" i="1"/>
  <c r="Q9" i="1"/>
  <c r="Q15" i="1"/>
  <c r="Q21" i="1"/>
  <c r="R9" i="1"/>
  <c r="R15" i="1"/>
  <c r="R21" i="1"/>
  <c r="S9" i="1"/>
  <c r="S15" i="1"/>
  <c r="S21" i="1"/>
  <c r="T9" i="1"/>
  <c r="T15" i="1"/>
  <c r="T21" i="1"/>
  <c r="U9" i="1"/>
  <c r="U15" i="1"/>
  <c r="U21" i="1"/>
  <c r="V9" i="1"/>
  <c r="V15" i="1"/>
  <c r="V21" i="1"/>
  <c r="W9" i="1"/>
  <c r="W15" i="1"/>
  <c r="W21" i="1"/>
  <c r="X9" i="1"/>
  <c r="X15" i="1"/>
  <c r="X21" i="1"/>
  <c r="Y9" i="1"/>
  <c r="Y15" i="1"/>
  <c r="Y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J10" i="1"/>
  <c r="J16" i="1"/>
  <c r="J22" i="1"/>
  <c r="K10" i="1"/>
  <c r="K16" i="1"/>
  <c r="K22" i="1"/>
  <c r="L10" i="1"/>
  <c r="L16" i="1"/>
  <c r="L22" i="1"/>
  <c r="M10" i="1"/>
  <c r="M16" i="1"/>
  <c r="M22" i="1"/>
  <c r="N10" i="1"/>
  <c r="N16" i="1"/>
  <c r="N22" i="1"/>
  <c r="O10" i="1"/>
  <c r="O16" i="1"/>
  <c r="O22" i="1"/>
  <c r="P10" i="1"/>
  <c r="P16" i="1"/>
  <c r="P22" i="1"/>
  <c r="Q10" i="1"/>
  <c r="Q16" i="1"/>
  <c r="Q22" i="1"/>
  <c r="R10" i="1"/>
  <c r="R16" i="1"/>
  <c r="R22" i="1"/>
  <c r="S10" i="1"/>
  <c r="S16" i="1"/>
  <c r="S22" i="1"/>
  <c r="T10" i="1"/>
  <c r="T16" i="1"/>
  <c r="T22" i="1"/>
  <c r="U10" i="1"/>
  <c r="U16" i="1"/>
  <c r="U22" i="1"/>
  <c r="V10" i="1"/>
  <c r="V16" i="1"/>
  <c r="V22" i="1"/>
  <c r="W10" i="1"/>
  <c r="W16" i="1"/>
  <c r="W22" i="1"/>
  <c r="X10" i="1"/>
  <c r="X16" i="1"/>
  <c r="X22" i="1"/>
  <c r="Y10" i="1"/>
  <c r="Y16" i="1"/>
  <c r="Y22" i="1"/>
  <c r="C4" i="43"/>
  <c r="C4" i="2"/>
  <c r="B2" i="43"/>
  <c r="B2" i="42"/>
  <c r="C4" i="15"/>
  <c r="D4" i="42"/>
  <c r="B9" i="43"/>
  <c r="U17" i="1"/>
  <c r="S17" i="1"/>
  <c r="Q17" i="1"/>
  <c r="P17" i="1"/>
  <c r="Q11" i="1"/>
  <c r="N17" i="1"/>
  <c r="O17" i="1"/>
  <c r="N11" i="1"/>
  <c r="M17" i="1"/>
  <c r="M11" i="1"/>
  <c r="K17" i="1"/>
  <c r="J17" i="1"/>
  <c r="H17" i="1"/>
  <c r="I11" i="1"/>
  <c r="H11" i="1"/>
  <c r="G17" i="1"/>
  <c r="F17" i="1"/>
  <c r="E17" i="1"/>
  <c r="C17" i="1"/>
  <c r="X17" i="1"/>
  <c r="T17" i="1"/>
  <c r="L17" i="1"/>
  <c r="B16" i="1"/>
  <c r="B15" i="1"/>
  <c r="B14" i="1"/>
  <c r="Y17" i="1"/>
  <c r="W17" i="1"/>
  <c r="I17" i="1"/>
  <c r="B13" i="1"/>
  <c r="D38" i="2"/>
  <c r="E38" i="2"/>
  <c r="D39" i="2"/>
  <c r="E39" i="2"/>
  <c r="D40" i="2"/>
  <c r="E40" i="2"/>
  <c r="E37" i="2"/>
  <c r="D37" i="2"/>
  <c r="C38" i="2"/>
  <c r="C39" i="2"/>
  <c r="C40" i="2"/>
  <c r="C37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C26" i="2"/>
  <c r="D26" i="2"/>
  <c r="E26" i="2"/>
  <c r="F26" i="2"/>
  <c r="G26" i="2"/>
  <c r="H26" i="2"/>
  <c r="B26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E22" i="2"/>
  <c r="D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C26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D15" i="50"/>
  <c r="B15" i="50"/>
  <c r="C14" i="50"/>
  <c r="D14" i="50"/>
  <c r="B14" i="50"/>
  <c r="C13" i="50"/>
  <c r="D13" i="50"/>
  <c r="B13" i="50"/>
  <c r="C12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B25" i="49"/>
  <c r="C24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C13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B25" i="47"/>
  <c r="C24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D15" i="47"/>
  <c r="B15" i="47"/>
  <c r="C14" i="47"/>
  <c r="D14" i="47"/>
  <c r="E14" i="47"/>
  <c r="F14" i="47"/>
  <c r="B14" i="47"/>
  <c r="C13" i="47"/>
  <c r="D13" i="47"/>
  <c r="E13" i="47"/>
  <c r="B13" i="47"/>
  <c r="C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B33" i="46"/>
  <c r="B32" i="46"/>
  <c r="B31" i="46"/>
  <c r="B30" i="46"/>
  <c r="C27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C26" i="46"/>
  <c r="D26" i="46"/>
  <c r="C14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5" i="46"/>
  <c r="D15" i="46"/>
  <c r="B15" i="46"/>
  <c r="E14" i="46"/>
  <c r="B14" i="46"/>
  <c r="C13" i="46"/>
  <c r="D13" i="46"/>
  <c r="D31" i="46"/>
  <c r="B13" i="46"/>
  <c r="C12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/>
  <c r="B43" i="45"/>
  <c r="D37" i="45"/>
  <c r="D38" i="45"/>
  <c r="D39" i="45"/>
  <c r="D40" i="45"/>
  <c r="D41" i="45"/>
  <c r="C40" i="45"/>
  <c r="D46" i="45"/>
  <c r="B40" i="45"/>
  <c r="C39" i="45"/>
  <c r="D45" i="45"/>
  <c r="B39" i="45"/>
  <c r="C38" i="45"/>
  <c r="D44" i="45"/>
  <c r="B38" i="45"/>
  <c r="C41" i="45"/>
  <c r="E41" i="45"/>
  <c r="B37" i="45"/>
  <c r="C15" i="45"/>
  <c r="C27" i="45"/>
  <c r="C33" i="45"/>
  <c r="B33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C26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B25" i="45"/>
  <c r="C24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D15" i="45"/>
  <c r="B15" i="45"/>
  <c r="C14" i="45"/>
  <c r="D14" i="45"/>
  <c r="B14" i="45"/>
  <c r="C13" i="45"/>
  <c r="D13" i="45"/>
  <c r="B13" i="45"/>
  <c r="C12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37" i="44"/>
  <c r="D38" i="44"/>
  <c r="D39" i="44"/>
  <c r="D40" i="44"/>
  <c r="D41" i="44"/>
  <c r="C40" i="44"/>
  <c r="D46" i="44"/>
  <c r="E40" i="44"/>
  <c r="B40" i="44"/>
  <c r="C39" i="44"/>
  <c r="D45" i="44"/>
  <c r="B39" i="44"/>
  <c r="C38" i="44"/>
  <c r="D44" i="44"/>
  <c r="B38" i="44"/>
  <c r="C37" i="44"/>
  <c r="C41" i="44"/>
  <c r="E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C13" i="44"/>
  <c r="D13" i="44"/>
  <c r="B13" i="44"/>
  <c r="C12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D40" i="43"/>
  <c r="C40" i="43"/>
  <c r="B40" i="43"/>
  <c r="D39" i="43"/>
  <c r="C39" i="43"/>
  <c r="D45" i="43"/>
  <c r="B39" i="43"/>
  <c r="D38" i="43"/>
  <c r="C38" i="43"/>
  <c r="B38" i="43"/>
  <c r="D37" i="43"/>
  <c r="C37" i="43"/>
  <c r="B37" i="43"/>
  <c r="B33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B25" i="43"/>
  <c r="C24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C14" i="43"/>
  <c r="D14" i="43"/>
  <c r="B14" i="43"/>
  <c r="C13" i="43"/>
  <c r="D13" i="43"/>
  <c r="B13" i="43"/>
  <c r="C12" i="43"/>
  <c r="C30" i="43"/>
  <c r="B12" i="43"/>
  <c r="P10" i="43"/>
  <c r="O10" i="43"/>
  <c r="N10" i="43"/>
  <c r="M10" i="43"/>
  <c r="L10" i="43"/>
  <c r="K10" i="43"/>
  <c r="J10" i="43"/>
  <c r="I10" i="43"/>
  <c r="H10" i="43"/>
  <c r="G10" i="43"/>
  <c r="F10" i="43"/>
  <c r="E10" i="43"/>
  <c r="D10" i="43"/>
  <c r="C10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C37" i="42"/>
  <c r="C43" i="42"/>
  <c r="B43" i="42"/>
  <c r="D37" i="42"/>
  <c r="D38" i="42"/>
  <c r="D39" i="42"/>
  <c r="D40" i="42"/>
  <c r="D41" i="42"/>
  <c r="C40" i="42"/>
  <c r="E40" i="42"/>
  <c r="B40" i="42"/>
  <c r="C39" i="42"/>
  <c r="D45" i="42"/>
  <c r="B39" i="42"/>
  <c r="C38" i="42"/>
  <c r="D44" i="42"/>
  <c r="B38" i="42"/>
  <c r="C41" i="42"/>
  <c r="E41" i="42"/>
  <c r="B37" i="42"/>
  <c r="B33" i="42"/>
  <c r="B32" i="42"/>
  <c r="B31" i="42"/>
  <c r="B30" i="42"/>
  <c r="C27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C26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5" i="42"/>
  <c r="D15" i="42"/>
  <c r="B15" i="42"/>
  <c r="C14" i="42"/>
  <c r="C32" i="42"/>
  <c r="B14" i="42"/>
  <c r="C13" i="42"/>
  <c r="D13" i="42"/>
  <c r="B13" i="42"/>
  <c r="C12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D44" i="15"/>
  <c r="C39" i="15"/>
  <c r="D39" i="15"/>
  <c r="D45" i="15"/>
  <c r="C40" i="15"/>
  <c r="C46" i="15"/>
  <c r="D40" i="15"/>
  <c r="D46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B2" i="50"/>
  <c r="B2" i="49"/>
  <c r="B2" i="48"/>
  <c r="B2" i="47"/>
  <c r="B2" i="46"/>
  <c r="B2" i="45"/>
  <c r="B2" i="44"/>
  <c r="D41" i="43"/>
  <c r="D46" i="43"/>
  <c r="C41" i="43"/>
  <c r="E41" i="43"/>
  <c r="J11" i="1"/>
  <c r="K11" i="1"/>
  <c r="D44" i="43"/>
  <c r="C32" i="43"/>
  <c r="C43" i="43"/>
  <c r="C33" i="43"/>
  <c r="C16" i="44"/>
  <c r="C31" i="44"/>
  <c r="C16" i="45"/>
  <c r="C16" i="47"/>
  <c r="D14" i="42"/>
  <c r="E14" i="42"/>
  <c r="F14" i="42"/>
  <c r="C32" i="46"/>
  <c r="C28" i="49"/>
  <c r="C28" i="42"/>
  <c r="C28" i="43"/>
  <c r="C16" i="46"/>
  <c r="C28" i="48"/>
  <c r="D24" i="49"/>
  <c r="E24" i="49"/>
  <c r="C28" i="45"/>
  <c r="C33" i="46"/>
  <c r="D12" i="47"/>
  <c r="D16" i="47"/>
  <c r="C28" i="47"/>
  <c r="C32" i="50"/>
  <c r="C31" i="43"/>
  <c r="C31" i="49"/>
  <c r="C30" i="50"/>
  <c r="C16" i="50"/>
  <c r="C31" i="45"/>
  <c r="C31" i="47"/>
  <c r="C16" i="42"/>
  <c r="C33" i="42"/>
  <c r="C16" i="43"/>
  <c r="C32" i="45"/>
  <c r="C28" i="46"/>
  <c r="D17" i="1"/>
  <c r="V17" i="1"/>
  <c r="R17" i="1"/>
  <c r="L11" i="1"/>
  <c r="S11" i="1"/>
  <c r="P11" i="1"/>
  <c r="O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D24" i="47"/>
  <c r="E15" i="46"/>
  <c r="D33" i="46"/>
  <c r="D12" i="46"/>
  <c r="E13" i="46"/>
  <c r="F14" i="46"/>
  <c r="C45" i="46"/>
  <c r="E37" i="46"/>
  <c r="E39" i="46"/>
  <c r="E26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E15" i="45"/>
  <c r="D33" i="45"/>
  <c r="C44" i="45"/>
  <c r="C45" i="45"/>
  <c r="C46" i="45"/>
  <c r="C47" i="45"/>
  <c r="C34" i="45"/>
  <c r="D32" i="45"/>
  <c r="E14" i="45"/>
  <c r="D12" i="45"/>
  <c r="E13" i="45"/>
  <c r="E37" i="45"/>
  <c r="E39" i="45"/>
  <c r="D43" i="45"/>
  <c r="D47" i="45"/>
  <c r="D24" i="45"/>
  <c r="E38" i="45"/>
  <c r="E40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47" i="43"/>
  <c r="D24" i="43"/>
  <c r="E15" i="42"/>
  <c r="D33" i="42"/>
  <c r="C44" i="42"/>
  <c r="C45" i="42"/>
  <c r="C46" i="42"/>
  <c r="C47" i="42"/>
  <c r="D31" i="42"/>
  <c r="D12" i="42"/>
  <c r="E13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D24" i="42"/>
  <c r="C31" i="42"/>
  <c r="C34" i="42"/>
  <c r="D46" i="42"/>
  <c r="E38" i="42"/>
  <c r="D43" i="42"/>
  <c r="D47" i="42"/>
  <c r="E40" i="15"/>
  <c r="D41" i="15"/>
  <c r="C44" i="15"/>
  <c r="D43" i="15"/>
  <c r="D47" i="15"/>
  <c r="C43" i="15"/>
  <c r="C45" i="15"/>
  <c r="C41" i="15"/>
  <c r="E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15" i="15"/>
  <c r="B2" i="15"/>
  <c r="C34" i="43"/>
  <c r="C47" i="43"/>
  <c r="E32" i="46"/>
  <c r="D15" i="15"/>
  <c r="C33" i="15"/>
  <c r="C32" i="15"/>
  <c r="E32" i="44"/>
  <c r="D30" i="47"/>
  <c r="D32" i="42"/>
  <c r="J26" i="2"/>
  <c r="E31" i="50"/>
  <c r="F13" i="50"/>
  <c r="D31" i="50"/>
  <c r="E32" i="50"/>
  <c r="F14" i="50"/>
  <c r="E33" i="50"/>
  <c r="F15" i="50"/>
  <c r="D30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16" i="49"/>
  <c r="E12" i="49"/>
  <c r="D47" i="48"/>
  <c r="C47" i="48"/>
  <c r="E24" i="48"/>
  <c r="E30" i="48"/>
  <c r="D28" i="48"/>
  <c r="E31" i="48"/>
  <c r="F13" i="48"/>
  <c r="F32" i="48"/>
  <c r="G14" i="48"/>
  <c r="F12" i="48"/>
  <c r="E16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D28" i="47"/>
  <c r="H14" i="47"/>
  <c r="G32" i="47"/>
  <c r="E31" i="47"/>
  <c r="E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D30" i="45"/>
  <c r="D16" i="45"/>
  <c r="E12" i="45"/>
  <c r="E32" i="45"/>
  <c r="F14" i="45"/>
  <c r="E24" i="45"/>
  <c r="D28" i="45"/>
  <c r="E33" i="45"/>
  <c r="F15" i="45"/>
  <c r="E31" i="45"/>
  <c r="F13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31" i="43"/>
  <c r="D34" i="43"/>
  <c r="D16" i="43"/>
  <c r="E12" i="43"/>
  <c r="E32" i="43"/>
  <c r="F14" i="43"/>
  <c r="E24" i="43"/>
  <c r="D28" i="43"/>
  <c r="E33" i="43"/>
  <c r="F15" i="43"/>
  <c r="E24" i="42"/>
  <c r="D28" i="42"/>
  <c r="D30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E15" i="15"/>
  <c r="D33" i="15"/>
  <c r="D12" i="15"/>
  <c r="D30" i="15"/>
  <c r="C30" i="15"/>
  <c r="E26" i="15"/>
  <c r="C47" i="15"/>
  <c r="C28" i="15"/>
  <c r="D28" i="15"/>
  <c r="D14" i="15"/>
  <c r="D32" i="15"/>
  <c r="D13" i="15"/>
  <c r="D31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2"/>
  <c r="E34" i="47"/>
  <c r="D34" i="50"/>
  <c r="C34" i="15"/>
  <c r="D34" i="49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F33" i="49"/>
  <c r="G15" i="49"/>
  <c r="G32" i="49"/>
  <c r="H14" i="49"/>
  <c r="F25" i="49"/>
  <c r="E28" i="49"/>
  <c r="H24" i="49"/>
  <c r="G13" i="49"/>
  <c r="F31" i="49"/>
  <c r="E31" i="49"/>
  <c r="G13" i="48"/>
  <c r="F31" i="48"/>
  <c r="F24" i="48"/>
  <c r="F30" i="48"/>
  <c r="E28" i="48"/>
  <c r="H14" i="48"/>
  <c r="G32" i="48"/>
  <c r="F33" i="48"/>
  <c r="G15" i="48"/>
  <c r="E34" i="48"/>
  <c r="G12" i="48"/>
  <c r="F16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31" i="45"/>
  <c r="G13" i="45"/>
  <c r="E16" i="45"/>
  <c r="E30" i="45"/>
  <c r="E34" i="45"/>
  <c r="F12" i="45"/>
  <c r="F33" i="45"/>
  <c r="G15" i="45"/>
  <c r="D3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G11" i="1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E10" i="15"/>
  <c r="D10" i="15"/>
  <c r="C10" i="15"/>
  <c r="B9" i="15"/>
  <c r="B8" i="15"/>
  <c r="B7" i="15"/>
  <c r="B6" i="15"/>
  <c r="E34" i="49"/>
  <c r="F11" i="1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G31" i="49"/>
  <c r="F28" i="49"/>
  <c r="H32" i="49"/>
  <c r="I14" i="49"/>
  <c r="G33" i="49"/>
  <c r="H15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16" i="48"/>
  <c r="H12" i="48"/>
  <c r="F34" i="48"/>
  <c r="H13" i="48"/>
  <c r="G31" i="48"/>
  <c r="F28" i="47"/>
  <c r="G24" i="47"/>
  <c r="G30" i="47"/>
  <c r="G33" i="47"/>
  <c r="G34" i="47"/>
  <c r="I32" i="47"/>
  <c r="J14" i="47"/>
  <c r="I13" i="47"/>
  <c r="H31" i="47"/>
  <c r="H15" i="47"/>
  <c r="F30" i="47"/>
  <c r="F34" i="47"/>
  <c r="G16" i="47"/>
  <c r="H12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H13" i="45"/>
  <c r="G31" i="45"/>
  <c r="G32" i="45"/>
  <c r="H14" i="45"/>
  <c r="G33" i="45"/>
  <c r="H15" i="45"/>
  <c r="F16" i="45"/>
  <c r="G12" i="45"/>
  <c r="F30" i="45"/>
  <c r="F34" i="45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B2" i="2"/>
  <c r="G34" i="48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H33" i="45"/>
  <c r="I15" i="45"/>
  <c r="I14" i="45"/>
  <c r="H32" i="45"/>
  <c r="G16" i="45"/>
  <c r="H12" i="45"/>
  <c r="G30" i="45"/>
  <c r="G34" i="45"/>
  <c r="G28" i="45"/>
  <c r="H24" i="45"/>
  <c r="I13" i="45"/>
  <c r="H31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3" i="2"/>
  <c r="C31" i="2"/>
  <c r="C14" i="2"/>
  <c r="C32" i="2"/>
  <c r="C15" i="2"/>
  <c r="C33" i="2"/>
  <c r="C12" i="2"/>
  <c r="C3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N26" i="2"/>
  <c r="D12" i="2"/>
  <c r="D30" i="2"/>
  <c r="D15" i="2"/>
  <c r="D33" i="2"/>
  <c r="D14" i="2"/>
  <c r="D32" i="2"/>
  <c r="D13" i="2"/>
  <c r="E11" i="1"/>
  <c r="D26" i="1"/>
  <c r="C28" i="1"/>
  <c r="D11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I31" i="49"/>
  <c r="H28" i="49"/>
  <c r="H31" i="49"/>
  <c r="K24" i="49"/>
  <c r="I33" i="49"/>
  <c r="J15" i="49"/>
  <c r="J13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I32" i="45"/>
  <c r="I12" i="45"/>
  <c r="H30" i="45"/>
  <c r="H34" i="45"/>
  <c r="H16" i="45"/>
  <c r="J13" i="45"/>
  <c r="I31" i="45"/>
  <c r="J15" i="45"/>
  <c r="I33" i="45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1" i="2"/>
  <c r="E44" i="2"/>
  <c r="E45" i="2"/>
  <c r="E46" i="2"/>
  <c r="D44" i="2"/>
  <c r="C45" i="2"/>
  <c r="D45" i="2"/>
  <c r="C44" i="2"/>
  <c r="D46" i="2"/>
  <c r="C46" i="2"/>
  <c r="E43" i="2"/>
  <c r="C41" i="2"/>
  <c r="D43" i="2"/>
  <c r="D41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C11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J30" i="48"/>
  <c r="K13" i="48"/>
  <c r="J31" i="48"/>
  <c r="J33" i="48"/>
  <c r="K15" i="48"/>
  <c r="I30" i="48"/>
  <c r="I34" i="48"/>
  <c r="L14" i="48"/>
  <c r="K32" i="48"/>
  <c r="J16" i="48"/>
  <c r="K12" i="48"/>
  <c r="K15" i="47"/>
  <c r="J33" i="47"/>
  <c r="J24" i="47"/>
  <c r="J30" i="47"/>
  <c r="J34" i="47"/>
  <c r="I28" i="47"/>
  <c r="L13" i="47"/>
  <c r="K31" i="47"/>
  <c r="I30" i="47"/>
  <c r="I34" i="47"/>
  <c r="M14" i="47"/>
  <c r="L32" i="47"/>
  <c r="K12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K15" i="45"/>
  <c r="J33" i="45"/>
  <c r="K13" i="45"/>
  <c r="J31" i="45"/>
  <c r="I28" i="45"/>
  <c r="J24" i="45"/>
  <c r="J12" i="45"/>
  <c r="I30" i="45"/>
  <c r="I34" i="45"/>
  <c r="I16" i="45"/>
  <c r="K1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F41" i="2"/>
  <c r="E47" i="2"/>
  <c r="C34" i="2"/>
  <c r="C47" i="2"/>
  <c r="D47" i="2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30" i="45"/>
  <c r="J34" i="45"/>
  <c r="J16" i="45"/>
  <c r="K12" i="45"/>
  <c r="K31" i="45"/>
  <c r="L13" i="45"/>
  <c r="J28" i="45"/>
  <c r="K24" i="45"/>
  <c r="L14" i="45"/>
  <c r="K32" i="45"/>
  <c r="K33" i="45"/>
  <c r="L15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L31" i="45"/>
  <c r="M13" i="45"/>
  <c r="M15" i="45"/>
  <c r="L33" i="45"/>
  <c r="K16" i="45"/>
  <c r="K30" i="45"/>
  <c r="K34" i="45"/>
  <c r="L12" i="45"/>
  <c r="L32" i="45"/>
  <c r="M1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M31" i="49"/>
  <c r="L28" i="49"/>
  <c r="O24" i="49"/>
  <c r="M33" i="49"/>
  <c r="N15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32" i="45"/>
  <c r="N14" i="45"/>
  <c r="M31" i="45"/>
  <c r="N13" i="45"/>
  <c r="M24" i="45"/>
  <c r="L28" i="45"/>
  <c r="M33" i="45"/>
  <c r="N15" i="45"/>
  <c r="L30" i="45"/>
  <c r="L34" i="45"/>
  <c r="L16" i="45"/>
  <c r="M12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M28" i="47"/>
  <c r="M30" i="47"/>
  <c r="M34" i="47"/>
  <c r="N33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31" i="45"/>
  <c r="O13" i="45"/>
  <c r="N32" i="45"/>
  <c r="O14" i="45"/>
  <c r="N33" i="45"/>
  <c r="O15" i="45"/>
  <c r="N24" i="45"/>
  <c r="M28" i="45"/>
  <c r="M16" i="45"/>
  <c r="M30" i="45"/>
  <c r="M34" i="45"/>
  <c r="N12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N34" i="47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O31" i="49"/>
  <c r="N28" i="49"/>
  <c r="P13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33" i="45"/>
  <c r="P15" i="45"/>
  <c r="P33" i="45"/>
  <c r="O32" i="45"/>
  <c r="P14" i="45"/>
  <c r="P32" i="45"/>
  <c r="N16" i="45"/>
  <c r="O12" i="45"/>
  <c r="N30" i="45"/>
  <c r="N34" i="45"/>
  <c r="P13" i="45"/>
  <c r="P31" i="45"/>
  <c r="O31" i="45"/>
  <c r="O25" i="44"/>
  <c r="O31" i="44"/>
  <c r="N28" i="44"/>
  <c r="O33" i="44"/>
  <c r="P15" i="44"/>
  <c r="P33" i="44"/>
  <c r="M34" i="44"/>
  <c r="N31" i="44"/>
  <c r="P13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16" i="45"/>
  <c r="P12" i="45"/>
  <c r="O30" i="45"/>
  <c r="O34" i="45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5"/>
  <c r="P34" i="45"/>
  <c r="P16" i="45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N26" i="1"/>
  <c r="P16" i="15"/>
  <c r="O16" i="15"/>
  <c r="O15" i="2"/>
  <c r="O33" i="2"/>
  <c r="O13" i="2"/>
  <c r="O31" i="2"/>
  <c r="O12" i="2"/>
  <c r="O30" i="2"/>
  <c r="N16" i="2"/>
  <c r="O14" i="2"/>
  <c r="O32" i="2"/>
  <c r="N28" i="1"/>
  <c r="M29" i="1"/>
  <c r="M25" i="1"/>
  <c r="O27" i="1"/>
  <c r="O26" i="1"/>
  <c r="N34" i="2"/>
  <c r="O28" i="2"/>
  <c r="O34" i="2"/>
  <c r="P13" i="2"/>
  <c r="P31" i="2"/>
  <c r="P14" i="2"/>
  <c r="P32" i="2"/>
  <c r="P12" i="2"/>
  <c r="P30" i="2"/>
  <c r="O16" i="2"/>
  <c r="P15" i="2"/>
  <c r="P33" i="2"/>
  <c r="O28" i="1"/>
  <c r="N25" i="1"/>
  <c r="N29" i="1"/>
  <c r="P27" i="1"/>
  <c r="P26" i="1"/>
  <c r="Q14" i="2"/>
  <c r="Q32" i="2"/>
  <c r="Q12" i="2"/>
  <c r="Q30" i="2"/>
  <c r="P16" i="2"/>
  <c r="Q13" i="2"/>
  <c r="Q31" i="2"/>
  <c r="P28" i="2"/>
  <c r="Q15" i="2"/>
  <c r="Q33" i="2"/>
  <c r="P28" i="1"/>
  <c r="O29" i="1"/>
  <c r="O25" i="1"/>
  <c r="Q26" i="1"/>
  <c r="Q27" i="1"/>
  <c r="R15" i="2"/>
  <c r="R33" i="2"/>
  <c r="Q28" i="2"/>
  <c r="R12" i="2"/>
  <c r="R30" i="2"/>
  <c r="Q16" i="2"/>
  <c r="R28" i="2"/>
  <c r="R13" i="2"/>
  <c r="R31" i="2"/>
  <c r="P34" i="2"/>
  <c r="R14" i="2"/>
  <c r="R32" i="2"/>
  <c r="Q28" i="1"/>
  <c r="P25" i="1"/>
  <c r="P29" i="1"/>
  <c r="R26" i="1"/>
  <c r="R27" i="1"/>
  <c r="S12" i="2"/>
  <c r="S30" i="2"/>
  <c r="R16" i="2"/>
  <c r="Q34" i="2"/>
  <c r="S14" i="2"/>
  <c r="S32" i="2"/>
  <c r="S13" i="2"/>
  <c r="S31" i="2"/>
  <c r="R34" i="2"/>
  <c r="S15" i="2"/>
  <c r="S33" i="2"/>
  <c r="R28" i="1"/>
  <c r="Q29" i="1"/>
  <c r="Q25" i="1"/>
  <c r="S27" i="1"/>
  <c r="S26" i="1"/>
  <c r="T14" i="2"/>
  <c r="T32" i="2"/>
  <c r="T15" i="2"/>
  <c r="T33" i="2"/>
  <c r="T12" i="2"/>
  <c r="T30" i="2"/>
  <c r="S16" i="2"/>
  <c r="S34" i="2"/>
  <c r="T13" i="2"/>
  <c r="T31" i="2"/>
  <c r="S28" i="2"/>
  <c r="S28" i="1"/>
  <c r="R25" i="1"/>
  <c r="R29" i="1"/>
  <c r="T26" i="1"/>
  <c r="T27" i="1"/>
  <c r="U13" i="2"/>
  <c r="U31" i="2"/>
  <c r="T34" i="2"/>
  <c r="U15" i="2"/>
  <c r="U33" i="2"/>
  <c r="T28" i="2"/>
  <c r="U12" i="2"/>
  <c r="U30" i="2"/>
  <c r="T16" i="2"/>
  <c r="U14" i="2"/>
  <c r="U32" i="2"/>
  <c r="T28" i="1"/>
  <c r="S29" i="1"/>
  <c r="S25" i="1"/>
  <c r="U27" i="1"/>
  <c r="U26" i="1"/>
  <c r="V15" i="2"/>
  <c r="V33" i="2"/>
  <c r="V12" i="2"/>
  <c r="V30" i="2"/>
  <c r="U16" i="2"/>
  <c r="V13" i="2"/>
  <c r="V31" i="2"/>
  <c r="V14" i="2"/>
  <c r="V32" i="2"/>
  <c r="U28" i="2"/>
  <c r="U28" i="1"/>
  <c r="T25" i="1"/>
  <c r="T29" i="1"/>
  <c r="V27" i="1"/>
  <c r="V26" i="1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V28" i="1"/>
  <c r="U25" i="1"/>
  <c r="U29" i="1"/>
  <c r="W26" i="1"/>
  <c r="W27" i="1"/>
  <c r="W16" i="2"/>
  <c r="W34" i="2"/>
  <c r="W28" i="1"/>
  <c r="V29" i="1"/>
  <c r="V25" i="1"/>
  <c r="Y27" i="1"/>
  <c r="X27" i="1"/>
  <c r="Y26" i="1"/>
  <c r="X26" i="1"/>
  <c r="Y28" i="1"/>
  <c r="X28" i="1"/>
  <c r="W25" i="1"/>
  <c r="W29" i="1"/>
  <c r="Y29" i="1"/>
  <c r="X29" i="1"/>
  <c r="Y25" i="1"/>
  <c r="X25" i="1"/>
</calcChain>
</file>

<file path=xl/sharedStrings.xml><?xml version="1.0" encoding="utf-8"?>
<sst xmlns="http://schemas.openxmlformats.org/spreadsheetml/2006/main" count="294" uniqueCount="52">
  <si>
    <t>Last</t>
  </si>
  <si>
    <t>Sprint 0 Start Date:</t>
  </si>
  <si>
    <t>Team Member 1:</t>
  </si>
  <si>
    <t>Team Member 2:</t>
  </si>
  <si>
    <t>Team Member 3:</t>
  </si>
  <si>
    <t>Daily Velocity</t>
  </si>
  <si>
    <t>Work Date:</t>
  </si>
  <si>
    <t>Weekly Effort</t>
  </si>
  <si>
    <t>Weekly Velocity</t>
  </si>
  <si>
    <t>Week Start Date:</t>
  </si>
  <si>
    <t>Work Week #:</t>
  </si>
  <si>
    <t>Sprint 1</t>
  </si>
  <si>
    <t>Sprint 0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</si>
  <si>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</si>
  <si>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</si>
  <si>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</si>
  <si>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</si>
  <si>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</si>
  <si>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</si>
  <si>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</si>
  <si>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</si>
  <si>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</si>
  <si>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CS 425: Senior Project I</t>
  </si>
  <si>
    <t>CS 499: Senior Project II</t>
  </si>
  <si>
    <t>DO NOT ENTER INFORMATION DIRECTLY ONTO THIS SHEET</t>
  </si>
  <si>
    <t>Sprint 5 Start Date:</t>
  </si>
  <si>
    <t>MODIFY DATA INSIDE OF BLUE BOXES</t>
  </si>
  <si>
    <t>Work Day #:</t>
  </si>
  <si>
    <t>Initial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</si>
  <si>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</si>
  <si>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TEAM:</t>
  </si>
  <si>
    <t>Week:</t>
  </si>
  <si>
    <t>Week 1</t>
  </si>
  <si>
    <t>Week 2</t>
  </si>
  <si>
    <t>Week 3</t>
  </si>
  <si>
    <t>TOTAL</t>
  </si>
  <si>
    <t>(Person-Hours)</t>
  </si>
  <si>
    <t>Use the Sprint Sheets That Follow After Entering Team Member Info in the Setup Sheet</t>
  </si>
  <si>
    <t>All Other Information is Automatically Calculated from this Data; Do Not Modify Other Cells or Formula</t>
  </si>
  <si>
    <t>Cumulative Weekly Effort</t>
  </si>
  <si>
    <t>Product Daily Effort</t>
  </si>
  <si>
    <t>Product Cumulative Daily Effort</t>
  </si>
  <si>
    <t>Course-specific Cumulative Daily Effort</t>
  </si>
  <si>
    <t>Course-specific Daily Effort</t>
  </si>
  <si>
    <t>Weekly Product Effort</t>
  </si>
  <si>
    <t>Weekly Course-specific Effort</t>
  </si>
  <si>
    <t>Nathan</t>
  </si>
  <si>
    <t>NR</t>
  </si>
  <si>
    <t>Spencer</t>
  </si>
  <si>
    <t>SS</t>
  </si>
  <si>
    <t>Dylan</t>
  </si>
  <si>
    <t>DW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</si>
</sst>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6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2.91</c:v>
                </c:pt>
                <c:pt idx="1">
                  <c:v>13.75</c:v>
                </c:pt>
                <c:pt idx="2">
                  <c:v>12.4</c:v>
                </c:pt>
                <c:pt idx="3">
                  <c:v>6.25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3</c:v>
                </c:pt>
                <c:pt idx="1">
                  <c:v>3.25</c:v>
                </c:pt>
                <c:pt idx="2">
                  <c:v>6.5</c:v>
                </c:pt>
                <c:pt idx="3">
                  <c:v>4.5</c:v>
                </c:pt>
                <c:pt idx="4">
                  <c:v>7.5</c:v>
                </c:pt>
                <c:pt idx="5">
                  <c:v>12.067</c:v>
                </c:pt>
                <c:pt idx="6">
                  <c:v>28.003</c:v>
                </c:pt>
                <c:pt idx="7">
                  <c:v>28</c:v>
                </c:pt>
                <c:pt idx="8">
                  <c:v>22</c:v>
                </c:pt>
                <c:pt idx="9">
                  <c:v>8</c:v>
                </c:pt>
                <c:pt idx="10">
                  <c:v>15</c:v>
                </c:pt>
                <c:pt idx="11">
                  <c:v>23.5</c:v>
                </c:pt>
                <c:pt idx="12">
                  <c:v>23</c:v>
                </c:pt>
                <c:pt idx="13">
                  <c:v>12</c:v>
                </c:pt>
                <c:pt idx="14">
                  <c:v>29</c:v>
                </c:pt>
                <c:pt idx="15">
                  <c:v>16</c:v>
                </c:pt>
                <c:pt idx="16">
                  <c:v>16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790256"/>
        <c:axId val="15257853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5.91</c:v>
                </c:pt>
                <c:pt idx="1">
                  <c:v>11.455</c:v>
                </c:pt>
                <c:pt idx="2">
                  <c:v>13.936666666666667</c:v>
                </c:pt>
                <c:pt idx="3">
                  <c:v>13.14</c:v>
                </c:pt>
                <c:pt idx="4">
                  <c:v>12.612</c:v>
                </c:pt>
                <c:pt idx="5">
                  <c:v>12.521166666666668</c:v>
                </c:pt>
                <c:pt idx="6">
                  <c:v>14.732857142857144</c:v>
                </c:pt>
                <c:pt idx="7">
                  <c:v>16.391249999999999</c:v>
                </c:pt>
                <c:pt idx="8">
                  <c:v>17.014444444444443</c:v>
                </c:pt>
                <c:pt idx="9">
                  <c:v>16.312999999999999</c:v>
                </c:pt>
                <c:pt idx="10">
                  <c:v>16.239090909090908</c:v>
                </c:pt>
                <c:pt idx="11">
                  <c:v>16.844166666666666</c:v>
                </c:pt>
                <c:pt idx="12">
                  <c:v>17.317692307692308</c:v>
                </c:pt>
                <c:pt idx="13">
                  <c:v>16.937857142857144</c:v>
                </c:pt>
                <c:pt idx="14">
                  <c:v>17.742000000000001</c:v>
                </c:pt>
                <c:pt idx="15">
                  <c:v>17.633125</c:v>
                </c:pt>
                <c:pt idx="16">
                  <c:v>17.53705882352941</c:v>
                </c:pt>
                <c:pt idx="17">
                  <c:v>16.562777777777779</c:v>
                </c:pt>
                <c:pt idx="18">
                  <c:v>15.691052631578946</c:v>
                </c:pt>
                <c:pt idx="19">
                  <c:v>14.906499999999999</c:v>
                </c:pt>
                <c:pt idx="20">
                  <c:v>14.196666666666667</c:v>
                </c:pt>
                <c:pt idx="21">
                  <c:v>13.551363636363636</c:v>
                </c:pt>
                <c:pt idx="22">
                  <c:v>12.962173913043477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90256"/>
        <c:axId val="1525785360"/>
      </c:lineChart>
      <c:catAx>
        <c:axId val="1525790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85360"/>
        <c:crosses val="autoZero"/>
        <c:auto val="0"/>
        <c:lblAlgn val="ctr"/>
        <c:lblOffset val="100"/>
        <c:noMultiLvlLbl val="0"/>
      </c:catAx>
      <c:valAx>
        <c:axId val="152578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0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4</c:v>
                </c:pt>
                <c:pt idx="2">
                  <c:v>3.5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5</c:v>
                </c:pt>
                <c:pt idx="5">
                  <c:v>5</c:v>
                </c:pt>
                <c:pt idx="6">
                  <c:v>10.5</c:v>
                </c:pt>
                <c:pt idx="7">
                  <c:v>11</c:v>
                </c:pt>
                <c:pt idx="8">
                  <c:v>9</c:v>
                </c:pt>
                <c:pt idx="9">
                  <c:v>6</c:v>
                </c:pt>
                <c:pt idx="10">
                  <c:v>9</c:v>
                </c:pt>
                <c:pt idx="11">
                  <c:v>1.5</c:v>
                </c:pt>
                <c:pt idx="12">
                  <c:v>12</c:v>
                </c:pt>
                <c:pt idx="13">
                  <c:v>0</c:v>
                </c:pt>
                <c:pt idx="14">
                  <c:v>20</c:v>
                </c:pt>
                <c:pt idx="15">
                  <c:v>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790800"/>
        <c:axId val="152579460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2</c:v>
                </c:pt>
                <c:pt idx="1">
                  <c:v>3.5</c:v>
                </c:pt>
                <c:pt idx="2">
                  <c:v>3.8333333333333335</c:v>
                </c:pt>
                <c:pt idx="3">
                  <c:v>3.125</c:v>
                </c:pt>
                <c:pt idx="4">
                  <c:v>3.7</c:v>
                </c:pt>
                <c:pt idx="5">
                  <c:v>3.9166666666666665</c:v>
                </c:pt>
                <c:pt idx="6">
                  <c:v>4.8571428571428568</c:v>
                </c:pt>
                <c:pt idx="7">
                  <c:v>5.625</c:v>
                </c:pt>
                <c:pt idx="8">
                  <c:v>6</c:v>
                </c:pt>
                <c:pt idx="9">
                  <c:v>6</c:v>
                </c:pt>
                <c:pt idx="10">
                  <c:v>6.2727272727272725</c:v>
                </c:pt>
                <c:pt idx="11">
                  <c:v>5.875</c:v>
                </c:pt>
                <c:pt idx="12">
                  <c:v>6.3461538461538458</c:v>
                </c:pt>
                <c:pt idx="13">
                  <c:v>5.8928571428571432</c:v>
                </c:pt>
                <c:pt idx="14">
                  <c:v>6.833333333333333</c:v>
                </c:pt>
                <c:pt idx="15">
                  <c:v>6.78125</c:v>
                </c:pt>
                <c:pt idx="16">
                  <c:v>6.382352941176471</c:v>
                </c:pt>
                <c:pt idx="17">
                  <c:v>6.0277777777777777</c:v>
                </c:pt>
                <c:pt idx="18">
                  <c:v>5.7105263157894735</c:v>
                </c:pt>
                <c:pt idx="19">
                  <c:v>5.4249999999999998</c:v>
                </c:pt>
                <c:pt idx="20">
                  <c:v>5.166666666666667</c:v>
                </c:pt>
                <c:pt idx="21">
                  <c:v>4.9318181818181817</c:v>
                </c:pt>
                <c:pt idx="22">
                  <c:v>4.7173913043478262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90800"/>
        <c:axId val="1525794608"/>
      </c:lineChart>
      <c:catAx>
        <c:axId val="15257908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4608"/>
        <c:crosses val="autoZero"/>
        <c:auto val="0"/>
        <c:lblAlgn val="ctr"/>
        <c:lblOffset val="100"/>
        <c:noMultiLvlLbl val="0"/>
      </c:catAx>
      <c:valAx>
        <c:axId val="152579460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08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2.66</c:v>
                </c:pt>
                <c:pt idx="1">
                  <c:v>8.5</c:v>
                </c:pt>
                <c:pt idx="2">
                  <c:v>4.9000000000000004</c:v>
                </c:pt>
                <c:pt idx="3">
                  <c:v>5.75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0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1.5</c:v>
                </c:pt>
                <c:pt idx="5">
                  <c:v>2</c:v>
                </c:pt>
                <c:pt idx="6">
                  <c:v>12.003</c:v>
                </c:pt>
                <c:pt idx="7">
                  <c:v>11</c:v>
                </c:pt>
                <c:pt idx="8">
                  <c:v>8</c:v>
                </c:pt>
                <c:pt idx="9">
                  <c:v>2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8</c:v>
                </c:pt>
                <c:pt idx="14">
                  <c:v>0</c:v>
                </c:pt>
                <c:pt idx="15">
                  <c:v>3</c:v>
                </c:pt>
                <c:pt idx="16">
                  <c:v>11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787536"/>
        <c:axId val="1525792976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2.66</c:v>
                </c:pt>
                <c:pt idx="1">
                  <c:v>5.83</c:v>
                </c:pt>
                <c:pt idx="2">
                  <c:v>5.6866666666666674</c:v>
                </c:pt>
                <c:pt idx="3">
                  <c:v>5.8275000000000006</c:v>
                </c:pt>
                <c:pt idx="4">
                  <c:v>5.2620000000000005</c:v>
                </c:pt>
                <c:pt idx="5">
                  <c:v>4.7183333333333337</c:v>
                </c:pt>
                <c:pt idx="6">
                  <c:v>5.7590000000000003</c:v>
                </c:pt>
                <c:pt idx="7">
                  <c:v>6.4141250000000003</c:v>
                </c:pt>
                <c:pt idx="8">
                  <c:v>6.5903333333333336</c:v>
                </c:pt>
                <c:pt idx="9">
                  <c:v>6.1313000000000004</c:v>
                </c:pt>
                <c:pt idx="10">
                  <c:v>6.1193636363636363</c:v>
                </c:pt>
                <c:pt idx="11">
                  <c:v>6.4427500000000002</c:v>
                </c:pt>
                <c:pt idx="12">
                  <c:v>6.4086923076923075</c:v>
                </c:pt>
                <c:pt idx="13">
                  <c:v>6.5223571428571434</c:v>
                </c:pt>
                <c:pt idx="14">
                  <c:v>6.0875333333333339</c:v>
                </c:pt>
                <c:pt idx="15">
                  <c:v>5.8945625000000001</c:v>
                </c:pt>
                <c:pt idx="16">
                  <c:v>6.1948823529411765</c:v>
                </c:pt>
                <c:pt idx="17">
                  <c:v>5.8507222222222222</c:v>
                </c:pt>
                <c:pt idx="18">
                  <c:v>5.5427894736842109</c:v>
                </c:pt>
                <c:pt idx="19">
                  <c:v>5.2656499999999999</c:v>
                </c:pt>
                <c:pt idx="20">
                  <c:v>5.014904761904762</c:v>
                </c:pt>
                <c:pt idx="21">
                  <c:v>4.7869545454545452</c:v>
                </c:pt>
                <c:pt idx="22">
                  <c:v>4.5788260869565223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87536"/>
        <c:axId val="1525792976"/>
      </c:lineChart>
      <c:catAx>
        <c:axId val="1525787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2976"/>
        <c:crosses val="autoZero"/>
        <c:auto val="0"/>
        <c:lblAlgn val="ctr"/>
        <c:lblOffset val="100"/>
        <c:noMultiLvlLbl val="0"/>
      </c:catAx>
      <c:valAx>
        <c:axId val="15257929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87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0.25</c:v>
                </c:pt>
                <c:pt idx="1">
                  <c:v>1.25</c:v>
                </c:pt>
                <c:pt idx="2">
                  <c:v>4</c:v>
                </c:pt>
                <c:pt idx="3">
                  <c:v>0.5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0.5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1</c:v>
                </c:pt>
                <c:pt idx="1">
                  <c:v>1.75</c:v>
                </c:pt>
                <c:pt idx="2">
                  <c:v>5</c:v>
                </c:pt>
                <c:pt idx="3">
                  <c:v>3</c:v>
                </c:pt>
                <c:pt idx="4">
                  <c:v>1</c:v>
                </c:pt>
                <c:pt idx="5">
                  <c:v>5.0670000000000002</c:v>
                </c:pt>
                <c:pt idx="6">
                  <c:v>5.5</c:v>
                </c:pt>
                <c:pt idx="7">
                  <c:v>6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12</c:v>
                </c:pt>
                <c:pt idx="12">
                  <c:v>5</c:v>
                </c:pt>
                <c:pt idx="13">
                  <c:v>4</c:v>
                </c:pt>
                <c:pt idx="14">
                  <c:v>9</c:v>
                </c:pt>
                <c:pt idx="15">
                  <c:v>7</c:v>
                </c:pt>
                <c:pt idx="16">
                  <c:v>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795696"/>
        <c:axId val="152579624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1.25</c:v>
                </c:pt>
                <c:pt idx="1">
                  <c:v>2.125</c:v>
                </c:pt>
                <c:pt idx="2">
                  <c:v>4.416666666666667</c:v>
                </c:pt>
                <c:pt idx="3">
                  <c:v>4.1875</c:v>
                </c:pt>
                <c:pt idx="4">
                  <c:v>3.65</c:v>
                </c:pt>
                <c:pt idx="5">
                  <c:v>3.8861666666666665</c:v>
                </c:pt>
                <c:pt idx="6">
                  <c:v>4.116714285714286</c:v>
                </c:pt>
                <c:pt idx="7">
                  <c:v>4.352125</c:v>
                </c:pt>
                <c:pt idx="8">
                  <c:v>4.4241111111111113</c:v>
                </c:pt>
                <c:pt idx="9">
                  <c:v>4.1817000000000002</c:v>
                </c:pt>
                <c:pt idx="10">
                  <c:v>3.847</c:v>
                </c:pt>
                <c:pt idx="11">
                  <c:v>4.526416666666667</c:v>
                </c:pt>
                <c:pt idx="12">
                  <c:v>4.562846153846154</c:v>
                </c:pt>
                <c:pt idx="13">
                  <c:v>4.5226428571428574</c:v>
                </c:pt>
                <c:pt idx="14">
                  <c:v>4.8211333333333339</c:v>
                </c:pt>
                <c:pt idx="15">
                  <c:v>4.9573125000000005</c:v>
                </c:pt>
                <c:pt idx="16">
                  <c:v>4.9598235294117652</c:v>
                </c:pt>
                <c:pt idx="17">
                  <c:v>4.684277777777778</c:v>
                </c:pt>
                <c:pt idx="18">
                  <c:v>4.4377368421052639</c:v>
                </c:pt>
                <c:pt idx="19">
                  <c:v>4.2158500000000005</c:v>
                </c:pt>
                <c:pt idx="20">
                  <c:v>4.0150952380952383</c:v>
                </c:pt>
                <c:pt idx="21">
                  <c:v>3.8325909090909094</c:v>
                </c:pt>
                <c:pt idx="22">
                  <c:v>3.6659565217391306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95696"/>
        <c:axId val="1525796240"/>
      </c:lineChart>
      <c:catAx>
        <c:axId val="15257956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6240"/>
        <c:crosses val="autoZero"/>
        <c:auto val="0"/>
        <c:lblAlgn val="ctr"/>
        <c:lblOffset val="100"/>
        <c:noMultiLvlLbl val="0"/>
      </c:catAx>
      <c:valAx>
        <c:axId val="152579624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56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699E-2"/>
          <c:y val="3.63429804391776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25796784"/>
        <c:axId val="152578971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5796784"/>
        <c:axId val="1525789712"/>
      </c:lineChart>
      <c:catAx>
        <c:axId val="1525796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89712"/>
        <c:crosses val="autoZero"/>
        <c:auto val="0"/>
        <c:lblAlgn val="ctr"/>
        <c:lblOffset val="100"/>
        <c:noMultiLvlLbl val="0"/>
      </c:catAx>
      <c:valAx>
        <c:axId val="1525789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5796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0.58000000000000007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3</c:v>
                </c:pt>
                <c:pt idx="10">
                  <c:v>3.75</c:v>
                </c:pt>
                <c:pt idx="11">
                  <c:v>2</c:v>
                </c:pt>
                <c:pt idx="12">
                  <c:v>0</c:v>
                </c:pt>
                <c:pt idx="13">
                  <c:v>2.5</c:v>
                </c:pt>
                <c:pt idx="14">
                  <c:v>3.4</c:v>
                </c:pt>
                <c:pt idx="15">
                  <c:v>2.5</c:v>
                </c:pt>
                <c:pt idx="16">
                  <c:v>1</c:v>
                </c:pt>
                <c:pt idx="17">
                  <c:v>2</c:v>
                </c:pt>
                <c:pt idx="18">
                  <c:v>0</c:v>
                </c:pt>
                <c:pt idx="19">
                  <c:v>3.5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1.5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13088"/>
        <c:axId val="166300928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0.29000000000000004</c:v>
                </c:pt>
                <c:pt idx="2">
                  <c:v>0.52666666666666673</c:v>
                </c:pt>
                <c:pt idx="3">
                  <c:v>1.4775</c:v>
                </c:pt>
                <c:pt idx="4">
                  <c:v>1.1819999999999999</c:v>
                </c:pt>
                <c:pt idx="5">
                  <c:v>0.98499999999999999</c:v>
                </c:pt>
                <c:pt idx="6">
                  <c:v>0.84428571428571431</c:v>
                </c:pt>
                <c:pt idx="7">
                  <c:v>0.73875000000000002</c:v>
                </c:pt>
                <c:pt idx="8">
                  <c:v>1.1566666666666667</c:v>
                </c:pt>
                <c:pt idx="9">
                  <c:v>1.4410000000000001</c:v>
                </c:pt>
                <c:pt idx="10">
                  <c:v>1.6736363636363638</c:v>
                </c:pt>
                <c:pt idx="11">
                  <c:v>1.7008333333333334</c:v>
                </c:pt>
                <c:pt idx="12">
                  <c:v>1.57</c:v>
                </c:pt>
                <c:pt idx="13">
                  <c:v>1.6364285714285713</c:v>
                </c:pt>
                <c:pt idx="14">
                  <c:v>1.954</c:v>
                </c:pt>
                <c:pt idx="15">
                  <c:v>2.0818750000000001</c:v>
                </c:pt>
                <c:pt idx="16">
                  <c:v>2.0770588235294118</c:v>
                </c:pt>
                <c:pt idx="17">
                  <c:v>2.1005555555555557</c:v>
                </c:pt>
                <c:pt idx="18">
                  <c:v>1.9900000000000002</c:v>
                </c:pt>
                <c:pt idx="19">
                  <c:v>2.0905</c:v>
                </c:pt>
                <c:pt idx="20">
                  <c:v>1.9909523809523813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13088"/>
        <c:axId val="1663009280"/>
      </c:lineChart>
      <c:catAx>
        <c:axId val="16630130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9280"/>
        <c:crosses val="autoZero"/>
        <c:auto val="1"/>
        <c:lblAlgn val="ctr"/>
        <c:lblOffset val="100"/>
        <c:noMultiLvlLbl val="1"/>
      </c:catAx>
      <c:valAx>
        <c:axId val="1663009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3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0.5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17440"/>
        <c:axId val="166301036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0.5</c:v>
                </c:pt>
                <c:pt idx="4">
                  <c:v>0.4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0.33333333333333331</c:v>
                </c:pt>
                <c:pt idx="9">
                  <c:v>0.3</c:v>
                </c:pt>
                <c:pt idx="10">
                  <c:v>0.45454545454545453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  <c:pt idx="14">
                  <c:v>0.5</c:v>
                </c:pt>
                <c:pt idx="15">
                  <c:v>0.53125</c:v>
                </c:pt>
                <c:pt idx="16">
                  <c:v>0.5</c:v>
                </c:pt>
                <c:pt idx="17">
                  <c:v>0.47222222222222221</c:v>
                </c:pt>
                <c:pt idx="18">
                  <c:v>0.44736842105263158</c:v>
                </c:pt>
                <c:pt idx="19">
                  <c:v>0.57499999999999996</c:v>
                </c:pt>
                <c:pt idx="20">
                  <c:v>0.54761904761904767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17440"/>
        <c:axId val="1663010368"/>
      </c:lineChart>
      <c:catAx>
        <c:axId val="1663017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0368"/>
        <c:crosses val="autoZero"/>
        <c:auto val="1"/>
        <c:lblAlgn val="ctr"/>
        <c:lblOffset val="100"/>
        <c:noMultiLvlLbl val="1"/>
      </c:catAx>
      <c:valAx>
        <c:axId val="1663010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7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0.33</c:v>
                </c:pt>
                <c:pt idx="2">
                  <c:v>1</c:v>
                </c:pt>
                <c:pt idx="3">
                  <c:v>1.33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</c:v>
                </c:pt>
                <c:pt idx="9">
                  <c:v>2</c:v>
                </c:pt>
                <c:pt idx="10">
                  <c:v>1.5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  <c:pt idx="14">
                  <c:v>1.9</c:v>
                </c:pt>
                <c:pt idx="15">
                  <c:v>0.5</c:v>
                </c:pt>
                <c:pt idx="16">
                  <c:v>1</c:v>
                </c:pt>
                <c:pt idx="17">
                  <c:v>1.5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08192"/>
        <c:axId val="166300873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0.16500000000000001</c:v>
                </c:pt>
                <c:pt idx="2">
                  <c:v>0.44333333333333336</c:v>
                </c:pt>
                <c:pt idx="3">
                  <c:v>0.66500000000000004</c:v>
                </c:pt>
                <c:pt idx="4">
                  <c:v>0.53200000000000003</c:v>
                </c:pt>
                <c:pt idx="5">
                  <c:v>0.44333333333333336</c:v>
                </c:pt>
                <c:pt idx="6">
                  <c:v>0.38</c:v>
                </c:pt>
                <c:pt idx="7">
                  <c:v>0.33250000000000002</c:v>
                </c:pt>
                <c:pt idx="8">
                  <c:v>0.62888888888888894</c:v>
                </c:pt>
                <c:pt idx="9">
                  <c:v>0.76600000000000001</c:v>
                </c:pt>
                <c:pt idx="10">
                  <c:v>0.83272727272727276</c:v>
                </c:pt>
                <c:pt idx="11">
                  <c:v>0.76333333333333331</c:v>
                </c:pt>
                <c:pt idx="12">
                  <c:v>0.70461538461538464</c:v>
                </c:pt>
                <c:pt idx="13">
                  <c:v>0.83285714285714285</c:v>
                </c:pt>
                <c:pt idx="14">
                  <c:v>0.90400000000000003</c:v>
                </c:pt>
                <c:pt idx="15">
                  <c:v>0.91</c:v>
                </c:pt>
                <c:pt idx="16">
                  <c:v>0.91529411764705881</c:v>
                </c:pt>
                <c:pt idx="17">
                  <c:v>0.94777777777777794</c:v>
                </c:pt>
                <c:pt idx="18">
                  <c:v>0.89789473684210541</c:v>
                </c:pt>
                <c:pt idx="19">
                  <c:v>0.85300000000000009</c:v>
                </c:pt>
                <c:pt idx="20">
                  <c:v>0.81238095238095254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08192"/>
        <c:axId val="1663008736"/>
      </c:lineChart>
      <c:catAx>
        <c:axId val="1663008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8736"/>
        <c:crosses val="autoZero"/>
        <c:auto val="1"/>
        <c:lblAlgn val="ctr"/>
        <c:lblOffset val="100"/>
        <c:noMultiLvlLbl val="1"/>
      </c:catAx>
      <c:valAx>
        <c:axId val="1663008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81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0.5</c:v>
                </c:pt>
                <c:pt idx="9">
                  <c:v>1</c:v>
                </c:pt>
                <c:pt idx="10">
                  <c:v>0.25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</c:v>
                </c:pt>
                <c:pt idx="15">
                  <c:v>0</c:v>
                </c:pt>
                <c:pt idx="16">
                  <c:v>1</c:v>
                </c:pt>
                <c:pt idx="17">
                  <c:v>0.5</c:v>
                </c:pt>
                <c:pt idx="18">
                  <c:v>0</c:v>
                </c:pt>
                <c:pt idx="19">
                  <c:v>0.5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03296"/>
        <c:axId val="166300710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0.125</c:v>
                </c:pt>
                <c:pt idx="2">
                  <c:v>8.3333333333333329E-2</c:v>
                </c:pt>
                <c:pt idx="3">
                  <c:v>0.3125</c:v>
                </c:pt>
                <c:pt idx="4">
                  <c:v>0.25</c:v>
                </c:pt>
                <c:pt idx="5">
                  <c:v>0.20833333333333334</c:v>
                </c:pt>
                <c:pt idx="6">
                  <c:v>0.17857142857142858</c:v>
                </c:pt>
                <c:pt idx="7">
                  <c:v>0.15625</c:v>
                </c:pt>
                <c:pt idx="8">
                  <c:v>0.19444444444444445</c:v>
                </c:pt>
                <c:pt idx="9">
                  <c:v>0.375</c:v>
                </c:pt>
                <c:pt idx="10">
                  <c:v>0.38636363636363635</c:v>
                </c:pt>
                <c:pt idx="11">
                  <c:v>0.35416666666666669</c:v>
                </c:pt>
                <c:pt idx="12">
                  <c:v>0.32692307692307693</c:v>
                </c:pt>
                <c:pt idx="13">
                  <c:v>0.30357142857142855</c:v>
                </c:pt>
                <c:pt idx="14">
                  <c:v>0.55000000000000004</c:v>
                </c:pt>
                <c:pt idx="15">
                  <c:v>0.640625</c:v>
                </c:pt>
                <c:pt idx="16">
                  <c:v>0.66176470588235292</c:v>
                </c:pt>
                <c:pt idx="17">
                  <c:v>0.68055555555555558</c:v>
                </c:pt>
                <c:pt idx="18">
                  <c:v>0.64473684210526316</c:v>
                </c:pt>
                <c:pt idx="19">
                  <c:v>0.66249999999999998</c:v>
                </c:pt>
                <c:pt idx="20">
                  <c:v>0.63095238095238093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03296"/>
        <c:axId val="1663007104"/>
      </c:lineChart>
      <c:catAx>
        <c:axId val="1663003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7104"/>
        <c:crosses val="autoZero"/>
        <c:auto val="1"/>
        <c:lblAlgn val="ctr"/>
        <c:lblOffset val="100"/>
        <c:noMultiLvlLbl val="1"/>
      </c:catAx>
      <c:valAx>
        <c:axId val="1663007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32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06560"/>
        <c:axId val="1663011456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06560"/>
        <c:axId val="1663011456"/>
      </c:lineChart>
      <c:catAx>
        <c:axId val="1663006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1456"/>
        <c:crosses val="autoZero"/>
        <c:auto val="1"/>
        <c:lblAlgn val="ctr"/>
        <c:lblOffset val="100"/>
        <c:noMultiLvlLbl val="1"/>
      </c:catAx>
      <c:valAx>
        <c:axId val="1663011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6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4.5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04928"/>
        <c:axId val="1663014720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4</c:v>
                </c:pt>
                <c:pt idx="1">
                  <c:v>3.125</c:v>
                </c:pt>
                <c:pt idx="2">
                  <c:v>2.0833333333333335</c:v>
                </c:pt>
                <c:pt idx="3">
                  <c:v>1.8125</c:v>
                </c:pt>
                <c:pt idx="4">
                  <c:v>1.45</c:v>
                </c:pt>
                <c:pt idx="5">
                  <c:v>1.2083333333333333</c:v>
                </c:pt>
                <c:pt idx="6">
                  <c:v>1.5357142857142858</c:v>
                </c:pt>
                <c:pt idx="7">
                  <c:v>1.90625</c:v>
                </c:pt>
                <c:pt idx="8">
                  <c:v>1.9166666666666665</c:v>
                </c:pt>
                <c:pt idx="9">
                  <c:v>1.7749999999999999</c:v>
                </c:pt>
                <c:pt idx="10">
                  <c:v>1.6136363636363638</c:v>
                </c:pt>
                <c:pt idx="11">
                  <c:v>1.4791666666666667</c:v>
                </c:pt>
                <c:pt idx="12">
                  <c:v>1.3653846153846154</c:v>
                </c:pt>
                <c:pt idx="13">
                  <c:v>1.5178571428571428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04928"/>
        <c:axId val="1663014720"/>
      </c:lineChart>
      <c:catAx>
        <c:axId val="1663004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4720"/>
        <c:crosses val="autoZero"/>
        <c:auto val="0"/>
        <c:lblAlgn val="ctr"/>
        <c:lblOffset val="100"/>
        <c:noMultiLvlLbl val="1"/>
      </c:catAx>
      <c:valAx>
        <c:axId val="1663014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4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4.5</c:v>
                </c:pt>
                <c:pt idx="8">
                  <c:v>0.5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17984"/>
        <c:axId val="166300384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0.6875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17984"/>
        <c:axId val="1663003840"/>
      </c:lineChart>
      <c:catAx>
        <c:axId val="16630179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3840"/>
        <c:crosses val="autoZero"/>
        <c:auto val="1"/>
        <c:lblAlgn val="ctr"/>
        <c:lblOffset val="100"/>
        <c:noMultiLvlLbl val="1"/>
      </c:catAx>
      <c:valAx>
        <c:axId val="166300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179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4</c:v>
                </c:pt>
                <c:pt idx="1">
                  <c:v>0.75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3006016"/>
        <c:axId val="166450513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4</c:v>
                </c:pt>
                <c:pt idx="1">
                  <c:v>2.625</c:v>
                </c:pt>
                <c:pt idx="2">
                  <c:v>1.75</c:v>
                </c:pt>
                <c:pt idx="3">
                  <c:v>1.4375</c:v>
                </c:pt>
                <c:pt idx="4">
                  <c:v>1.1499999999999999</c:v>
                </c:pt>
                <c:pt idx="5">
                  <c:v>0.95833333333333337</c:v>
                </c:pt>
                <c:pt idx="6">
                  <c:v>0.8928571428571429</c:v>
                </c:pt>
                <c:pt idx="7">
                  <c:v>0.78125</c:v>
                </c:pt>
                <c:pt idx="8">
                  <c:v>0.86111111111111116</c:v>
                </c:pt>
                <c:pt idx="9">
                  <c:v>0.77500000000000002</c:v>
                </c:pt>
                <c:pt idx="10">
                  <c:v>0.70454545454545459</c:v>
                </c:pt>
                <c:pt idx="11">
                  <c:v>0.64583333333333337</c:v>
                </c:pt>
                <c:pt idx="12">
                  <c:v>0.59615384615384615</c:v>
                </c:pt>
                <c:pt idx="13">
                  <c:v>0.6607142857142857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3006016"/>
        <c:axId val="1664505136"/>
      </c:lineChart>
      <c:catAx>
        <c:axId val="166300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5136"/>
        <c:crosses val="autoZero"/>
        <c:auto val="1"/>
        <c:lblAlgn val="ctr"/>
        <c:lblOffset val="100"/>
        <c:noMultiLvlLbl val="1"/>
      </c:catAx>
      <c:valAx>
        <c:axId val="16645051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3006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500240"/>
        <c:axId val="1664500784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0</c:v>
                </c:pt>
                <c:pt idx="1">
                  <c:v>0.25</c:v>
                </c:pt>
                <c:pt idx="2">
                  <c:v>0.16666666666666666</c:v>
                </c:pt>
                <c:pt idx="3">
                  <c:v>0.125</c:v>
                </c:pt>
                <c:pt idx="4">
                  <c:v>0.1</c:v>
                </c:pt>
                <c:pt idx="5">
                  <c:v>8.3333333333333329E-2</c:v>
                </c:pt>
                <c:pt idx="6">
                  <c:v>0.5</c:v>
                </c:pt>
                <c:pt idx="7">
                  <c:v>0.4375</c:v>
                </c:pt>
                <c:pt idx="8">
                  <c:v>0.3888888888888889</c:v>
                </c:pt>
                <c:pt idx="9">
                  <c:v>0.4</c:v>
                </c:pt>
                <c:pt idx="10">
                  <c:v>0.36363636363636365</c:v>
                </c:pt>
                <c:pt idx="11">
                  <c:v>0.33333333333333331</c:v>
                </c:pt>
                <c:pt idx="12">
                  <c:v>0.30769230769230771</c:v>
                </c:pt>
                <c:pt idx="13">
                  <c:v>0.35714285714285715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500240"/>
        <c:axId val="1664500784"/>
      </c:lineChart>
      <c:catAx>
        <c:axId val="166450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0784"/>
        <c:crosses val="autoZero"/>
        <c:auto val="1"/>
        <c:lblAlgn val="ctr"/>
        <c:lblOffset val="100"/>
        <c:noMultiLvlLbl val="1"/>
      </c:catAx>
      <c:valAx>
        <c:axId val="1664500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0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495344"/>
        <c:axId val="1664499696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495344"/>
        <c:axId val="1664499696"/>
      </c:lineChart>
      <c:catAx>
        <c:axId val="1664495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9696"/>
        <c:crosses val="autoZero"/>
        <c:auto val="1"/>
        <c:lblAlgn val="ctr"/>
        <c:lblOffset val="100"/>
        <c:noMultiLvlLbl val="1"/>
      </c:catAx>
      <c:valAx>
        <c:axId val="1664499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5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2</c:v>
                </c:pt>
                <c:pt idx="6">
                  <c:v>6.0670000000000002</c:v>
                </c:pt>
                <c:pt idx="7">
                  <c:v>7.0170000000000003</c:v>
                </c:pt>
                <c:pt idx="8">
                  <c:v>6.4829999999999997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9.5030000000000001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504048"/>
        <c:axId val="1664492624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1</c:v>
                </c:pt>
                <c:pt idx="6">
                  <c:v>1.7238571428571428</c:v>
                </c:pt>
                <c:pt idx="7">
                  <c:v>2.3855</c:v>
                </c:pt>
                <c:pt idx="8">
                  <c:v>2.8407777777777778</c:v>
                </c:pt>
                <c:pt idx="9">
                  <c:v>2.5567000000000002</c:v>
                </c:pt>
                <c:pt idx="10">
                  <c:v>2.597</c:v>
                </c:pt>
                <c:pt idx="11">
                  <c:v>2.3805833333333335</c:v>
                </c:pt>
                <c:pt idx="12">
                  <c:v>2.3513076923076923</c:v>
                </c:pt>
                <c:pt idx="13">
                  <c:v>2.8621428571428571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504048"/>
        <c:axId val="1664492624"/>
      </c:lineChart>
      <c:catAx>
        <c:axId val="166450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2624"/>
        <c:crosses val="autoZero"/>
        <c:auto val="0"/>
        <c:lblAlgn val="ctr"/>
        <c:lblOffset val="100"/>
        <c:noMultiLvlLbl val="1"/>
      </c:catAx>
      <c:valAx>
        <c:axId val="1664492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4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3.75</c:v>
                </c:pt>
                <c:pt idx="5">
                  <c:v>0</c:v>
                </c:pt>
                <c:pt idx="6">
                  <c:v>1</c:v>
                </c:pt>
                <c:pt idx="7">
                  <c:v>4.5170000000000003</c:v>
                </c:pt>
                <c:pt idx="8">
                  <c:v>0.48299999999999998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5.5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501328"/>
        <c:axId val="166450187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6.25E-2</c:v>
                </c:pt>
                <c:pt idx="4">
                  <c:v>0.8</c:v>
                </c:pt>
                <c:pt idx="5">
                  <c:v>0.66666666666666663</c:v>
                </c:pt>
                <c:pt idx="6">
                  <c:v>0.7142857142857143</c:v>
                </c:pt>
                <c:pt idx="7">
                  <c:v>1.1896249999999999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1.1071428571428572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501328"/>
        <c:axId val="1664501872"/>
      </c:lineChart>
      <c:catAx>
        <c:axId val="1664501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1872"/>
        <c:crosses val="autoZero"/>
        <c:auto val="1"/>
        <c:lblAlgn val="ctr"/>
        <c:lblOffset val="100"/>
        <c:noMultiLvlLbl val="1"/>
      </c:catAx>
      <c:valAx>
        <c:axId val="1664501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13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4.0030000000000001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502960"/>
        <c:axId val="1664493168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0.5</c:v>
                </c:pt>
                <c:pt idx="8">
                  <c:v>1.1111111111111112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0.76923076923076927</c:v>
                </c:pt>
                <c:pt idx="13">
                  <c:v>1.0002142857142857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502960"/>
        <c:axId val="1664493168"/>
      </c:lineChart>
      <c:catAx>
        <c:axId val="1664502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3168"/>
        <c:crosses val="autoZero"/>
        <c:auto val="1"/>
        <c:lblAlgn val="ctr"/>
        <c:lblOffset val="100"/>
        <c:noMultiLvlLbl val="1"/>
      </c:catAx>
      <c:valAx>
        <c:axId val="1664493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502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5.0670000000000002</c:v>
                </c:pt>
                <c:pt idx="7">
                  <c:v>0.5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496432"/>
        <c:axId val="166449697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0.72385714285714287</c:v>
                </c:pt>
                <c:pt idx="7">
                  <c:v>0.69587500000000002</c:v>
                </c:pt>
                <c:pt idx="8">
                  <c:v>0.61855555555555553</c:v>
                </c:pt>
                <c:pt idx="9">
                  <c:v>0.55669999999999997</c:v>
                </c:pt>
                <c:pt idx="10">
                  <c:v>0.77881818181818185</c:v>
                </c:pt>
                <c:pt idx="11">
                  <c:v>0.71391666666666664</c:v>
                </c:pt>
                <c:pt idx="12">
                  <c:v>0.81284615384615388</c:v>
                </c:pt>
                <c:pt idx="13">
                  <c:v>0.75478571428571428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496432"/>
        <c:axId val="1664496976"/>
      </c:lineChart>
      <c:catAx>
        <c:axId val="166449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6976"/>
        <c:crosses val="autoZero"/>
        <c:auto val="1"/>
        <c:lblAlgn val="ctr"/>
        <c:lblOffset val="100"/>
        <c:noMultiLvlLbl val="1"/>
      </c:catAx>
      <c:valAx>
        <c:axId val="1664496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496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96432"/>
        <c:axId val="1666490992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96432"/>
        <c:axId val="1666490992"/>
      </c:lineChart>
      <c:catAx>
        <c:axId val="1666496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0992"/>
        <c:crosses val="autoZero"/>
        <c:auto val="1"/>
        <c:lblAlgn val="ctr"/>
        <c:lblOffset val="100"/>
        <c:noMultiLvlLbl val="1"/>
      </c:catAx>
      <c:valAx>
        <c:axId val="16664909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64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0.25</c:v>
                </c:pt>
                <c:pt idx="1">
                  <c:v>9.75</c:v>
                </c:pt>
                <c:pt idx="2">
                  <c:v>3</c:v>
                </c:pt>
                <c:pt idx="3">
                  <c:v>0</c:v>
                </c:pt>
                <c:pt idx="4">
                  <c:v>4</c:v>
                </c:pt>
                <c:pt idx="5">
                  <c:v>2</c:v>
                </c:pt>
                <c:pt idx="6">
                  <c:v>9</c:v>
                </c:pt>
                <c:pt idx="7">
                  <c:v>4</c:v>
                </c:pt>
                <c:pt idx="8">
                  <c:v>6</c:v>
                </c:pt>
                <c:pt idx="9">
                  <c:v>5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91536"/>
        <c:axId val="166650132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0.25</c:v>
                </c:pt>
                <c:pt idx="1">
                  <c:v>5</c:v>
                </c:pt>
                <c:pt idx="2">
                  <c:v>4.3333333333333339</c:v>
                </c:pt>
                <c:pt idx="3">
                  <c:v>3.25</c:v>
                </c:pt>
                <c:pt idx="4">
                  <c:v>3.4000000000000004</c:v>
                </c:pt>
                <c:pt idx="5">
                  <c:v>3.166666666666667</c:v>
                </c:pt>
                <c:pt idx="6">
                  <c:v>4</c:v>
                </c:pt>
                <c:pt idx="7">
                  <c:v>4</c:v>
                </c:pt>
                <c:pt idx="8">
                  <c:v>4.2222222222222223</c:v>
                </c:pt>
                <c:pt idx="9">
                  <c:v>4.3000000000000007</c:v>
                </c:pt>
                <c:pt idx="10">
                  <c:v>3.9090909090909092</c:v>
                </c:pt>
                <c:pt idx="11">
                  <c:v>3.583333333333333</c:v>
                </c:pt>
                <c:pt idx="12">
                  <c:v>3.4615384615384617</c:v>
                </c:pt>
                <c:pt idx="13">
                  <c:v>3.5714285714285712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91536"/>
        <c:axId val="1666501328"/>
      </c:lineChart>
      <c:catAx>
        <c:axId val="1666491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1328"/>
        <c:crosses val="autoZero"/>
        <c:auto val="0"/>
        <c:lblAlgn val="ctr"/>
        <c:lblOffset val="100"/>
        <c:noMultiLvlLbl val="1"/>
      </c:catAx>
      <c:valAx>
        <c:axId val="166650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1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0.25</c:v>
                </c:pt>
                <c:pt idx="1">
                  <c:v>2.75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3</c:v>
                </c:pt>
                <c:pt idx="8">
                  <c:v>1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500784"/>
        <c:axId val="16664958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0.25</c:v>
                </c:pt>
                <c:pt idx="1">
                  <c:v>1.5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1.5714285714285714</c:v>
                </c:pt>
                <c:pt idx="7">
                  <c:v>1.75</c:v>
                </c:pt>
                <c:pt idx="8">
                  <c:v>1.6666666666666667</c:v>
                </c:pt>
                <c:pt idx="9">
                  <c:v>1.8</c:v>
                </c:pt>
                <c:pt idx="10">
                  <c:v>1.6363636363636365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500784"/>
        <c:axId val="1666495888"/>
      </c:lineChart>
      <c:catAx>
        <c:axId val="166650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5888"/>
        <c:crosses val="autoZero"/>
        <c:auto val="1"/>
        <c:lblAlgn val="ctr"/>
        <c:lblOffset val="100"/>
        <c:noMultiLvlLbl val="1"/>
      </c:catAx>
      <c:valAx>
        <c:axId val="16664958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5007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0</c:v>
                </c:pt>
                <c:pt idx="8">
                  <c:v>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86640"/>
        <c:axId val="166648718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0</c:v>
                </c:pt>
                <c:pt idx="1">
                  <c:v>2.5</c:v>
                </c:pt>
                <c:pt idx="2">
                  <c:v>1.6666666666666667</c:v>
                </c:pt>
                <c:pt idx="3">
                  <c:v>1.25</c:v>
                </c:pt>
                <c:pt idx="4">
                  <c:v>1</c:v>
                </c:pt>
                <c:pt idx="5">
                  <c:v>1.1666666666666667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1.7777777777777777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1.3571428571428572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86640"/>
        <c:axId val="1666487184"/>
      </c:lineChart>
      <c:catAx>
        <c:axId val="166648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87184"/>
        <c:crosses val="autoZero"/>
        <c:auto val="1"/>
        <c:lblAlgn val="ctr"/>
        <c:lblOffset val="100"/>
        <c:noMultiLvlLbl val="1"/>
      </c:catAx>
      <c:valAx>
        <c:axId val="16664871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86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89360"/>
        <c:axId val="166649044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0.66666666666666663</c:v>
                </c:pt>
                <c:pt idx="3">
                  <c:v>0.5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0.9</c:v>
                </c:pt>
                <c:pt idx="10">
                  <c:v>0.81818181818181823</c:v>
                </c:pt>
                <c:pt idx="11">
                  <c:v>0.75</c:v>
                </c:pt>
                <c:pt idx="12">
                  <c:v>0.84615384615384615</c:v>
                </c:pt>
                <c:pt idx="13">
                  <c:v>0.7857142857142857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89360"/>
        <c:axId val="1666490448"/>
      </c:lineChart>
      <c:catAx>
        <c:axId val="1666489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0448"/>
        <c:crosses val="autoZero"/>
        <c:auto val="1"/>
        <c:lblAlgn val="ctr"/>
        <c:lblOffset val="100"/>
        <c:noMultiLvlLbl val="1"/>
      </c:catAx>
      <c:valAx>
        <c:axId val="166649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89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97520"/>
        <c:axId val="1666492624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97520"/>
        <c:axId val="1666492624"/>
      </c:lineChart>
      <c:catAx>
        <c:axId val="1666497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2624"/>
        <c:crosses val="autoZero"/>
        <c:auto val="1"/>
        <c:lblAlgn val="ctr"/>
        <c:lblOffset val="100"/>
        <c:noMultiLvlLbl val="1"/>
      </c:catAx>
      <c:valAx>
        <c:axId val="1666492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7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6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99152"/>
        <c:axId val="1666493712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1.4285714285714284</c:v>
                </c:pt>
                <c:pt idx="7">
                  <c:v>2.375</c:v>
                </c:pt>
                <c:pt idx="8">
                  <c:v>2.5555555555555558</c:v>
                </c:pt>
                <c:pt idx="9">
                  <c:v>2.5499999999999998</c:v>
                </c:pt>
                <c:pt idx="10">
                  <c:v>2.3181818181818179</c:v>
                </c:pt>
                <c:pt idx="11">
                  <c:v>2.125</c:v>
                </c:pt>
                <c:pt idx="12">
                  <c:v>1.9615384615384615</c:v>
                </c:pt>
                <c:pt idx="13">
                  <c:v>1.8214285714285714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99152"/>
        <c:axId val="1666493712"/>
      </c:lineChart>
      <c:catAx>
        <c:axId val="166649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3712"/>
        <c:crosses val="autoZero"/>
        <c:auto val="0"/>
        <c:lblAlgn val="ctr"/>
        <c:lblOffset val="100"/>
        <c:noMultiLvlLbl val="1"/>
      </c:catAx>
      <c:valAx>
        <c:axId val="166649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9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6494256"/>
        <c:axId val="166721825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0.8571428571428571</c:v>
                </c:pt>
                <c:pt idx="7">
                  <c:v>1.375</c:v>
                </c:pt>
                <c:pt idx="8">
                  <c:v>1.6666666666666667</c:v>
                </c:pt>
                <c:pt idx="9">
                  <c:v>1.5</c:v>
                </c:pt>
                <c:pt idx="10">
                  <c:v>1.3636363636363635</c:v>
                </c:pt>
                <c:pt idx="11">
                  <c:v>1.25</c:v>
                </c:pt>
                <c:pt idx="12">
                  <c:v>1.1538461538461537</c:v>
                </c:pt>
                <c:pt idx="13">
                  <c:v>1.0714285714285714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6494256"/>
        <c:axId val="1667218256"/>
      </c:lineChart>
      <c:catAx>
        <c:axId val="16664942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8256"/>
        <c:crosses val="autoZero"/>
        <c:auto val="1"/>
        <c:lblAlgn val="ctr"/>
        <c:lblOffset val="100"/>
        <c:noMultiLvlLbl val="1"/>
      </c:catAx>
      <c:valAx>
        <c:axId val="16672182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649425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222608"/>
        <c:axId val="166721553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222608"/>
        <c:axId val="1667215536"/>
      </c:lineChart>
      <c:catAx>
        <c:axId val="1667222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5536"/>
        <c:crosses val="autoZero"/>
        <c:auto val="1"/>
        <c:lblAlgn val="ctr"/>
        <c:lblOffset val="100"/>
        <c:noMultiLvlLbl val="1"/>
      </c:catAx>
      <c:valAx>
        <c:axId val="1667215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22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216080"/>
        <c:axId val="166721662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0.2857142857142857</c:v>
                </c:pt>
                <c:pt idx="7">
                  <c:v>0.25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0.22727272727272727</c:v>
                </c:pt>
                <c:pt idx="11">
                  <c:v>0.20833333333333334</c:v>
                </c:pt>
                <c:pt idx="12">
                  <c:v>0.19230769230769232</c:v>
                </c:pt>
                <c:pt idx="13">
                  <c:v>0.17857142857142858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216080"/>
        <c:axId val="1667216624"/>
      </c:lineChart>
      <c:catAx>
        <c:axId val="16672160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624"/>
        <c:crosses val="autoZero"/>
        <c:auto val="1"/>
        <c:lblAlgn val="ctr"/>
        <c:lblOffset val="100"/>
        <c:noMultiLvlLbl val="1"/>
      </c:catAx>
      <c:valAx>
        <c:axId val="16672166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60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221520"/>
        <c:axId val="1667217712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221520"/>
        <c:axId val="1667217712"/>
      </c:lineChart>
      <c:catAx>
        <c:axId val="1667221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17712"/>
        <c:crosses val="autoZero"/>
        <c:auto val="1"/>
        <c:lblAlgn val="ctr"/>
        <c:lblOffset val="100"/>
        <c:noMultiLvlLbl val="1"/>
      </c:catAx>
      <c:valAx>
        <c:axId val="1667217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221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7.5</c:v>
                </c:pt>
                <c:pt idx="3">
                  <c:v>9</c:v>
                </c:pt>
                <c:pt idx="4">
                  <c:v>0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73248"/>
        <c:axId val="1667575424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2.5</c:v>
                </c:pt>
                <c:pt idx="3">
                  <c:v>4.125</c:v>
                </c:pt>
                <c:pt idx="4">
                  <c:v>3.3</c:v>
                </c:pt>
                <c:pt idx="5">
                  <c:v>3.416666666666667</c:v>
                </c:pt>
                <c:pt idx="6">
                  <c:v>3.3571428571428568</c:v>
                </c:pt>
                <c:pt idx="7">
                  <c:v>3.3125</c:v>
                </c:pt>
                <c:pt idx="8">
                  <c:v>3.166666666666667</c:v>
                </c:pt>
                <c:pt idx="9">
                  <c:v>3.15</c:v>
                </c:pt>
                <c:pt idx="10">
                  <c:v>3.2272727272727275</c:v>
                </c:pt>
                <c:pt idx="11">
                  <c:v>3.125</c:v>
                </c:pt>
                <c:pt idx="12">
                  <c:v>2.9615384615384617</c:v>
                </c:pt>
                <c:pt idx="13">
                  <c:v>3.3214285714285712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73248"/>
        <c:axId val="1667575424"/>
      </c:lineChart>
      <c:catAx>
        <c:axId val="16675732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5424"/>
        <c:crosses val="autoZero"/>
        <c:auto val="0"/>
        <c:lblAlgn val="ctr"/>
        <c:lblOffset val="100"/>
        <c:noMultiLvlLbl val="1"/>
      </c:catAx>
      <c:valAx>
        <c:axId val="1667575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64000"/>
        <c:axId val="1667562368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0.375</c:v>
                </c:pt>
                <c:pt idx="4">
                  <c:v>0.3</c:v>
                </c:pt>
                <c:pt idx="5">
                  <c:v>0.25</c:v>
                </c:pt>
                <c:pt idx="6">
                  <c:v>0.21428571428571427</c:v>
                </c:pt>
                <c:pt idx="7">
                  <c:v>0.1875</c:v>
                </c:pt>
                <c:pt idx="8">
                  <c:v>0.16666666666666666</c:v>
                </c:pt>
                <c:pt idx="9">
                  <c:v>0.15</c:v>
                </c:pt>
                <c:pt idx="10">
                  <c:v>0.31818181818181818</c:v>
                </c:pt>
                <c:pt idx="11">
                  <c:v>0.45833333333333331</c:v>
                </c:pt>
                <c:pt idx="12">
                  <c:v>0.42307692307692307</c:v>
                </c:pt>
                <c:pt idx="13">
                  <c:v>0.9642857142857143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64000"/>
        <c:axId val="1667562368"/>
      </c:lineChart>
      <c:catAx>
        <c:axId val="1667564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2368"/>
        <c:crosses val="autoZero"/>
        <c:auto val="1"/>
        <c:lblAlgn val="ctr"/>
        <c:lblOffset val="100"/>
        <c:noMultiLvlLbl val="1"/>
      </c:catAx>
      <c:valAx>
        <c:axId val="1667562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4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7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72704"/>
        <c:axId val="166756291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2.25</c:v>
                </c:pt>
                <c:pt idx="4">
                  <c:v>1.8</c:v>
                </c:pt>
                <c:pt idx="5">
                  <c:v>1.5</c:v>
                </c:pt>
                <c:pt idx="6">
                  <c:v>1.4285714285714286</c:v>
                </c:pt>
                <c:pt idx="7">
                  <c:v>1.625</c:v>
                </c:pt>
                <c:pt idx="8">
                  <c:v>1.4444444444444444</c:v>
                </c:pt>
                <c:pt idx="9">
                  <c:v>1.6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72704"/>
        <c:axId val="1667562912"/>
      </c:lineChart>
      <c:catAx>
        <c:axId val="166757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2912"/>
        <c:crosses val="autoZero"/>
        <c:auto val="1"/>
        <c:lblAlgn val="ctr"/>
        <c:lblOffset val="100"/>
        <c:noMultiLvlLbl val="1"/>
      </c:catAx>
      <c:valAx>
        <c:axId val="16675629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2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2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70528"/>
        <c:axId val="166756345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1.3333333333333333</c:v>
                </c:pt>
                <c:pt idx="3">
                  <c:v>1.5</c:v>
                </c:pt>
                <c:pt idx="4">
                  <c:v>1.2</c:v>
                </c:pt>
                <c:pt idx="5">
                  <c:v>1.6666666666666667</c:v>
                </c:pt>
                <c:pt idx="6">
                  <c:v>1.7142857142857142</c:v>
                </c:pt>
                <c:pt idx="7">
                  <c:v>1.5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1.4545454545454546</c:v>
                </c:pt>
                <c:pt idx="11">
                  <c:v>1.3333333333333333</c:v>
                </c:pt>
                <c:pt idx="12">
                  <c:v>1.3076923076923077</c:v>
                </c:pt>
                <c:pt idx="13">
                  <c:v>1.2142857142857142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70528"/>
        <c:axId val="1667563456"/>
      </c:lineChart>
      <c:catAx>
        <c:axId val="166757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3456"/>
        <c:crosses val="autoZero"/>
        <c:auto val="1"/>
        <c:lblAlgn val="ctr"/>
        <c:lblOffset val="100"/>
        <c:noMultiLvlLbl val="1"/>
      </c:catAx>
      <c:valAx>
        <c:axId val="16675634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65632"/>
        <c:axId val="166756073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65632"/>
        <c:axId val="1667560736"/>
      </c:lineChart>
      <c:catAx>
        <c:axId val="16675656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0736"/>
        <c:crosses val="autoZero"/>
        <c:auto val="1"/>
        <c:lblAlgn val="ctr"/>
        <c:lblOffset val="100"/>
        <c:noMultiLvlLbl val="1"/>
      </c:catAx>
      <c:valAx>
        <c:axId val="1667560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56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8</c:v>
                </c:pt>
                <c:pt idx="5">
                  <c:v>0</c:v>
                </c:pt>
                <c:pt idx="6">
                  <c:v>2</c:v>
                </c:pt>
                <c:pt idx="7">
                  <c:v>7</c:v>
                </c:pt>
                <c:pt idx="8">
                  <c:v>6</c:v>
                </c:pt>
                <c:pt idx="9">
                  <c:v>6</c:v>
                </c:pt>
                <c:pt idx="10">
                  <c:v>2</c:v>
                </c:pt>
                <c:pt idx="11">
                  <c:v>7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67808"/>
        <c:axId val="1667571616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2</c:v>
                </c:pt>
                <c:pt idx="5">
                  <c:v>1.6666666666666665</c:v>
                </c:pt>
                <c:pt idx="6">
                  <c:v>1.7142857142857142</c:v>
                </c:pt>
                <c:pt idx="7">
                  <c:v>2.375</c:v>
                </c:pt>
                <c:pt idx="8">
                  <c:v>2.7777777777777777</c:v>
                </c:pt>
                <c:pt idx="9">
                  <c:v>3.1</c:v>
                </c:pt>
                <c:pt idx="10">
                  <c:v>3</c:v>
                </c:pt>
                <c:pt idx="11">
                  <c:v>3.3333333333333335</c:v>
                </c:pt>
                <c:pt idx="12">
                  <c:v>3.1538461538461542</c:v>
                </c:pt>
                <c:pt idx="13">
                  <c:v>2.9285714285714288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67808"/>
        <c:axId val="1667571616"/>
      </c:lineChart>
      <c:catAx>
        <c:axId val="16675678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1616"/>
        <c:crosses val="autoZero"/>
        <c:auto val="0"/>
        <c:lblAlgn val="ctr"/>
        <c:lblOffset val="100"/>
        <c:noMultiLvlLbl val="1"/>
      </c:catAx>
      <c:valAx>
        <c:axId val="166757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7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</c:v>
                </c:pt>
                <c:pt idx="8">
                  <c:v>3</c:v>
                </c:pt>
                <c:pt idx="9">
                  <c:v>5</c:v>
                </c:pt>
                <c:pt idx="10">
                  <c:v>0</c:v>
                </c:pt>
                <c:pt idx="11">
                  <c:v>7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7574880"/>
        <c:axId val="166756944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0.625</c:v>
                </c:pt>
                <c:pt idx="8">
                  <c:v>0.88888888888888884</c:v>
                </c:pt>
                <c:pt idx="9">
                  <c:v>1.3</c:v>
                </c:pt>
                <c:pt idx="10">
                  <c:v>1.1818181818181819</c:v>
                </c:pt>
                <c:pt idx="11">
                  <c:v>1.6666666666666667</c:v>
                </c:pt>
                <c:pt idx="12">
                  <c:v>1.5384615384615385</c:v>
                </c:pt>
                <c:pt idx="13">
                  <c:v>1.4285714285714286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7574880"/>
        <c:axId val="1667569440"/>
      </c:lineChart>
      <c:catAx>
        <c:axId val="166757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69440"/>
        <c:crosses val="autoZero"/>
        <c:auto val="1"/>
        <c:lblAlgn val="ctr"/>
        <c:lblOffset val="100"/>
        <c:noMultiLvlLbl val="1"/>
      </c:catAx>
      <c:valAx>
        <c:axId val="166756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7574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262704"/>
        <c:axId val="1664263792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1.2</c:v>
                </c:pt>
                <c:pt idx="5">
                  <c:v>1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0.8</c:v>
                </c:pt>
                <c:pt idx="10">
                  <c:v>0.72727272727272729</c:v>
                </c:pt>
                <c:pt idx="11">
                  <c:v>0.66666666666666663</c:v>
                </c:pt>
                <c:pt idx="12">
                  <c:v>0.61538461538461542</c:v>
                </c:pt>
                <c:pt idx="13">
                  <c:v>0.5714285714285714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262704"/>
        <c:axId val="1664263792"/>
      </c:lineChart>
      <c:catAx>
        <c:axId val="166426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63792"/>
        <c:crosses val="autoZero"/>
        <c:auto val="1"/>
        <c:lblAlgn val="ctr"/>
        <c:lblOffset val="100"/>
        <c:noMultiLvlLbl val="1"/>
      </c:catAx>
      <c:valAx>
        <c:axId val="1664263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62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264336"/>
        <c:axId val="1664257264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0.66666666666666663</c:v>
                </c:pt>
                <c:pt idx="3">
                  <c:v>0.5</c:v>
                </c:pt>
                <c:pt idx="4">
                  <c:v>0.8</c:v>
                </c:pt>
                <c:pt idx="5">
                  <c:v>0.66666666666666663</c:v>
                </c:pt>
                <c:pt idx="6">
                  <c:v>0.5714285714285714</c:v>
                </c:pt>
                <c:pt idx="7">
                  <c:v>0.75</c:v>
                </c:pt>
                <c:pt idx="8">
                  <c:v>1</c:v>
                </c:pt>
                <c:pt idx="9">
                  <c:v>1</c:v>
                </c:pt>
                <c:pt idx="10">
                  <c:v>1.0909090909090908</c:v>
                </c:pt>
                <c:pt idx="11">
                  <c:v>1</c:v>
                </c:pt>
                <c:pt idx="12">
                  <c:v>1</c:v>
                </c:pt>
                <c:pt idx="13">
                  <c:v>0.9285714285714286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264336"/>
        <c:axId val="1664257264"/>
      </c:lineChart>
      <c:catAx>
        <c:axId val="16642643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57264"/>
        <c:crosses val="autoZero"/>
        <c:auto val="1"/>
        <c:lblAlgn val="ctr"/>
        <c:lblOffset val="100"/>
        <c:noMultiLvlLbl val="1"/>
      </c:catAx>
      <c:valAx>
        <c:axId val="1664257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643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258896"/>
        <c:axId val="166425944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258896"/>
        <c:axId val="1664259440"/>
      </c:lineChart>
      <c:catAx>
        <c:axId val="16642588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59440"/>
        <c:crosses val="autoZero"/>
        <c:auto val="1"/>
        <c:lblAlgn val="ctr"/>
        <c:lblOffset val="100"/>
        <c:noMultiLvlLbl val="1"/>
      </c:catAx>
      <c:valAx>
        <c:axId val="166425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588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7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7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64261072"/>
        <c:axId val="1664261616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7</c:v>
                </c:pt>
                <c:pt idx="1">
                  <c:v>5</c:v>
                </c:pt>
                <c:pt idx="2">
                  <c:v>3.3333333333333335</c:v>
                </c:pt>
                <c:pt idx="3">
                  <c:v>3</c:v>
                </c:pt>
                <c:pt idx="4">
                  <c:v>2.4</c:v>
                </c:pt>
                <c:pt idx="5">
                  <c:v>2</c:v>
                </c:pt>
                <c:pt idx="6">
                  <c:v>2.2857142857142856</c:v>
                </c:pt>
                <c:pt idx="7">
                  <c:v>2.5</c:v>
                </c:pt>
                <c:pt idx="8">
                  <c:v>3</c:v>
                </c:pt>
                <c:pt idx="9">
                  <c:v>3</c:v>
                </c:pt>
                <c:pt idx="10">
                  <c:v>2.7272727272727271</c:v>
                </c:pt>
                <c:pt idx="11">
                  <c:v>2.5</c:v>
                </c:pt>
                <c:pt idx="12">
                  <c:v>2.4615384615384617</c:v>
                </c:pt>
                <c:pt idx="13">
                  <c:v>2.2857142857142856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64261072"/>
        <c:axId val="1664261616"/>
      </c:lineChart>
      <c:catAx>
        <c:axId val="1664261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61616"/>
        <c:crosses val="autoZero"/>
        <c:auto val="0"/>
        <c:lblAlgn val="ctr"/>
        <c:lblOffset val="100"/>
        <c:noMultiLvlLbl val="1"/>
      </c:catAx>
      <c:valAx>
        <c:axId val="16642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426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31664"/>
        <c:axId val="170292187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6</c:v>
                </c:pt>
                <c:pt idx="1">
                  <c:v>3</c:v>
                </c:pt>
                <c:pt idx="2">
                  <c:v>2</c:v>
                </c:pt>
                <c:pt idx="3">
                  <c:v>1.5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0.5</c:v>
                </c:pt>
                <c:pt idx="12">
                  <c:v>0.46153846153846156</c:v>
                </c:pt>
                <c:pt idx="13">
                  <c:v>0.42857142857142855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31664"/>
        <c:axId val="1702921872"/>
      </c:lineChart>
      <c:catAx>
        <c:axId val="1702931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1872"/>
        <c:crosses val="autoZero"/>
        <c:auto val="1"/>
        <c:lblAlgn val="ctr"/>
        <c:lblOffset val="100"/>
        <c:noMultiLvlLbl val="1"/>
      </c:catAx>
      <c:valAx>
        <c:axId val="1702921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1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36016"/>
        <c:axId val="170292948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0.875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36016"/>
        <c:axId val="1702929488"/>
      </c:lineChart>
      <c:catAx>
        <c:axId val="170293601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9488"/>
        <c:crosses val="autoZero"/>
        <c:auto val="1"/>
        <c:lblAlgn val="ctr"/>
        <c:lblOffset val="100"/>
        <c:noMultiLvlLbl val="1"/>
      </c:catAx>
      <c:valAx>
        <c:axId val="1702929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601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06096"/>
        <c:axId val="1702905008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1</c:v>
                </c:pt>
                <c:pt idx="1">
                  <c:v>0.5</c:v>
                </c:pt>
                <c:pt idx="2">
                  <c:v>0.33333333333333331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1</c:v>
                </c:pt>
                <c:pt idx="7">
                  <c:v>0.875</c:v>
                </c:pt>
                <c:pt idx="8">
                  <c:v>0.77777777777777779</c:v>
                </c:pt>
                <c:pt idx="9">
                  <c:v>1</c:v>
                </c:pt>
                <c:pt idx="10">
                  <c:v>0.90909090909090906</c:v>
                </c:pt>
                <c:pt idx="11">
                  <c:v>0.83333333333333337</c:v>
                </c:pt>
                <c:pt idx="12">
                  <c:v>0.92307692307692313</c:v>
                </c:pt>
                <c:pt idx="13">
                  <c:v>0.8571428571428571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06096"/>
        <c:axId val="1702905008"/>
      </c:lineChart>
      <c:catAx>
        <c:axId val="1702906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5008"/>
        <c:crosses val="autoZero"/>
        <c:auto val="1"/>
        <c:lblAlgn val="ctr"/>
        <c:lblOffset val="100"/>
        <c:noMultiLvlLbl val="1"/>
      </c:catAx>
      <c:valAx>
        <c:axId val="1702905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609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06640"/>
        <c:axId val="1702924592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06640"/>
        <c:axId val="1702924592"/>
      </c:lineChart>
      <c:catAx>
        <c:axId val="170290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4592"/>
        <c:crosses val="autoZero"/>
        <c:auto val="1"/>
        <c:lblAlgn val="ctr"/>
        <c:lblOffset val="100"/>
        <c:noMultiLvlLbl val="1"/>
      </c:catAx>
      <c:valAx>
        <c:axId val="17029245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6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18608"/>
        <c:axId val="1702922416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18608"/>
        <c:axId val="1702922416"/>
      </c:lineChart>
      <c:catAx>
        <c:axId val="170291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2416"/>
        <c:crosses val="autoZero"/>
        <c:auto val="0"/>
        <c:lblAlgn val="ctr"/>
        <c:lblOffset val="100"/>
        <c:noMultiLvlLbl val="1"/>
      </c:catAx>
      <c:valAx>
        <c:axId val="170292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8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15888"/>
        <c:axId val="170292785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15888"/>
        <c:axId val="1702927856"/>
      </c:lineChart>
      <c:catAx>
        <c:axId val="1702915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7856"/>
        <c:crosses val="autoZero"/>
        <c:auto val="1"/>
        <c:lblAlgn val="ctr"/>
        <c:lblOffset val="100"/>
        <c:noMultiLvlLbl val="1"/>
      </c:catAx>
      <c:valAx>
        <c:axId val="17029278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5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23504"/>
        <c:axId val="170291752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23504"/>
        <c:axId val="1702917520"/>
      </c:lineChart>
      <c:catAx>
        <c:axId val="17029235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7520"/>
        <c:crosses val="autoZero"/>
        <c:auto val="1"/>
        <c:lblAlgn val="ctr"/>
        <c:lblOffset val="100"/>
        <c:noMultiLvlLbl val="1"/>
      </c:catAx>
      <c:valAx>
        <c:axId val="1702917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35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10992"/>
        <c:axId val="170290936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10992"/>
        <c:axId val="1702909360"/>
      </c:lineChart>
      <c:catAx>
        <c:axId val="17029109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9360"/>
        <c:crosses val="autoZero"/>
        <c:auto val="1"/>
        <c:lblAlgn val="ctr"/>
        <c:lblOffset val="100"/>
        <c:noMultiLvlLbl val="1"/>
      </c:catAx>
      <c:valAx>
        <c:axId val="170290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099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08272"/>
        <c:axId val="1702908816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08272"/>
        <c:axId val="1702908816"/>
      </c:lineChart>
      <c:catAx>
        <c:axId val="17029082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8816"/>
        <c:crosses val="autoZero"/>
        <c:auto val="1"/>
        <c:lblAlgn val="ctr"/>
        <c:lblOffset val="100"/>
        <c:noMultiLvlLbl val="1"/>
      </c:catAx>
      <c:valAx>
        <c:axId val="1702908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82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20784"/>
        <c:axId val="1702903920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20784"/>
        <c:axId val="1702903920"/>
      </c:lineChart>
      <c:catAx>
        <c:axId val="170292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03920"/>
        <c:crosses val="autoZero"/>
        <c:auto val="0"/>
        <c:lblAlgn val="ctr"/>
        <c:lblOffset val="100"/>
        <c:noMultiLvlLbl val="1"/>
      </c:catAx>
      <c:valAx>
        <c:axId val="170290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24048"/>
        <c:axId val="17029137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24048"/>
        <c:axId val="1702913712"/>
      </c:lineChart>
      <c:catAx>
        <c:axId val="17029240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3712"/>
        <c:crosses val="autoZero"/>
        <c:auto val="1"/>
        <c:lblAlgn val="ctr"/>
        <c:lblOffset val="100"/>
        <c:noMultiLvlLbl val="1"/>
      </c:catAx>
      <c:valAx>
        <c:axId val="1702913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40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20240"/>
        <c:axId val="1702927312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20240"/>
        <c:axId val="1702927312"/>
      </c:lineChart>
      <c:catAx>
        <c:axId val="1702920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7312"/>
        <c:crosses val="autoZero"/>
        <c:auto val="1"/>
        <c:lblAlgn val="ctr"/>
        <c:lblOffset val="100"/>
        <c:noMultiLvlLbl val="1"/>
      </c:catAx>
      <c:valAx>
        <c:axId val="17029273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20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30576"/>
        <c:axId val="1702931120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30576"/>
        <c:axId val="1702931120"/>
      </c:lineChart>
      <c:catAx>
        <c:axId val="1702930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1120"/>
        <c:crosses val="autoZero"/>
        <c:auto val="1"/>
        <c:lblAlgn val="ctr"/>
        <c:lblOffset val="100"/>
        <c:noMultiLvlLbl val="1"/>
      </c:catAx>
      <c:valAx>
        <c:axId val="1702931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05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42443</c:v>
                </c:pt>
                <c:pt idx="1">
                  <c:v>42444</c:v>
                </c:pt>
                <c:pt idx="2">
                  <c:v>42445</c:v>
                </c:pt>
                <c:pt idx="3">
                  <c:v>42446</c:v>
                </c:pt>
                <c:pt idx="4">
                  <c:v>42447</c:v>
                </c:pt>
                <c:pt idx="5">
                  <c:v>42448</c:v>
                </c:pt>
                <c:pt idx="6">
                  <c:v>42449</c:v>
                </c:pt>
                <c:pt idx="7">
                  <c:v>42450</c:v>
                </c:pt>
                <c:pt idx="8">
                  <c:v>42451</c:v>
                </c:pt>
                <c:pt idx="9">
                  <c:v>42452</c:v>
                </c:pt>
                <c:pt idx="10">
                  <c:v>42453</c:v>
                </c:pt>
                <c:pt idx="11">
                  <c:v>42454</c:v>
                </c:pt>
                <c:pt idx="12">
                  <c:v>42455</c:v>
                </c:pt>
                <c:pt idx="13">
                  <c:v>42456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34384"/>
        <c:axId val="1702934928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34384"/>
        <c:axId val="1702934928"/>
      </c:lineChart>
      <c:catAx>
        <c:axId val="1702934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4928"/>
        <c:crosses val="autoZero"/>
        <c:auto val="1"/>
        <c:lblAlgn val="ctr"/>
        <c:lblOffset val="100"/>
        <c:noMultiLvlLbl val="1"/>
      </c:catAx>
      <c:valAx>
        <c:axId val="1702934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3438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198"/>
          <c:y val="3.37019428042205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2916976"/>
        <c:axId val="170452390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2916976"/>
        <c:axId val="1704523904"/>
      </c:lineChart>
      <c:catAx>
        <c:axId val="17029169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23904"/>
        <c:crosses val="autoZero"/>
        <c:auto val="0"/>
        <c:lblAlgn val="ctr"/>
        <c:lblOffset val="100"/>
        <c:noMultiLvlLbl val="1"/>
      </c:catAx>
      <c:valAx>
        <c:axId val="170452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2916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541312"/>
        <c:axId val="170451248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541312"/>
        <c:axId val="1704512480"/>
      </c:lineChart>
      <c:catAx>
        <c:axId val="170454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12480"/>
        <c:crosses val="autoZero"/>
        <c:auto val="1"/>
        <c:lblAlgn val="ctr"/>
        <c:lblOffset val="100"/>
        <c:noMultiLvlLbl val="1"/>
      </c:catAx>
      <c:valAx>
        <c:axId val="17045124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41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513024"/>
        <c:axId val="1704530976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513024"/>
        <c:axId val="1704530976"/>
      </c:lineChart>
      <c:catAx>
        <c:axId val="17045130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30976"/>
        <c:crosses val="autoZero"/>
        <c:auto val="1"/>
        <c:lblAlgn val="ctr"/>
        <c:lblOffset val="100"/>
        <c:noMultiLvlLbl val="1"/>
      </c:catAx>
      <c:valAx>
        <c:axId val="17045309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1302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516832"/>
        <c:axId val="17045353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516832"/>
        <c:axId val="1704535328"/>
      </c:lineChart>
      <c:catAx>
        <c:axId val="17045168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35328"/>
        <c:crosses val="autoZero"/>
        <c:auto val="1"/>
        <c:lblAlgn val="ctr"/>
        <c:lblOffset val="100"/>
        <c:noMultiLvlLbl val="1"/>
      </c:catAx>
      <c:valAx>
        <c:axId val="17045353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1683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05"/>
          <c:y val="2.31481481481480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42457</c:v>
                </c:pt>
                <c:pt idx="1">
                  <c:v>42458</c:v>
                </c:pt>
                <c:pt idx="2">
                  <c:v>42459</c:v>
                </c:pt>
                <c:pt idx="3">
                  <c:v>42460</c:v>
                </c:pt>
                <c:pt idx="4">
                  <c:v>42461</c:v>
                </c:pt>
                <c:pt idx="5">
                  <c:v>42462</c:v>
                </c:pt>
                <c:pt idx="6">
                  <c:v>42463</c:v>
                </c:pt>
                <c:pt idx="7">
                  <c:v>42464</c:v>
                </c:pt>
                <c:pt idx="8">
                  <c:v>42465</c:v>
                </c:pt>
                <c:pt idx="9">
                  <c:v>42466</c:v>
                </c:pt>
                <c:pt idx="10">
                  <c:v>42467</c:v>
                </c:pt>
                <c:pt idx="11">
                  <c:v>42468</c:v>
                </c:pt>
                <c:pt idx="12">
                  <c:v>42469</c:v>
                </c:pt>
                <c:pt idx="13">
                  <c:v>42470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04511936"/>
        <c:axId val="1704536960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4511936"/>
        <c:axId val="1704536960"/>
      </c:lineChart>
      <c:catAx>
        <c:axId val="1704511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36960"/>
        <c:crosses val="autoZero"/>
        <c:auto val="1"/>
        <c:lblAlgn val="ctr"/>
        <c:lblOffset val="100"/>
        <c:noMultiLvlLbl val="1"/>
      </c:catAx>
      <c:valAx>
        <c:axId val="17045369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04511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Relationship Id="rId5" Type="http://schemas.openxmlformats.org/officeDocument/2006/relationships/chart" Target="../charts/chart45.xml"/><Relationship Id="rId4" Type="http://schemas.openxmlformats.org/officeDocument/2006/relationships/chart" Target="../charts/chart44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Relationship Id="rId5" Type="http://schemas.openxmlformats.org/officeDocument/2006/relationships/chart" Target="../charts/chart50.xml"/><Relationship Id="rId4" Type="http://schemas.openxmlformats.org/officeDocument/2006/relationships/chart" Target="../charts/chart49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3.xml"/><Relationship Id="rId2" Type="http://schemas.openxmlformats.org/officeDocument/2006/relationships/chart" Target="../charts/chart52.xml"/><Relationship Id="rId1" Type="http://schemas.openxmlformats.org/officeDocument/2006/relationships/chart" Target="../charts/chart51.xml"/><Relationship Id="rId5" Type="http://schemas.openxmlformats.org/officeDocument/2006/relationships/chart" Target="../charts/chart55.xml"/><Relationship Id="rId4" Type="http://schemas.openxmlformats.org/officeDocument/2006/relationships/chart" Target="../charts/chart54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Relationship Id="rId5" Type="http://schemas.openxmlformats.org/officeDocument/2006/relationships/chart" Target="../charts/chart60.xml"/><Relationship Id="rId4" Type="http://schemas.openxmlformats.org/officeDocument/2006/relationships/chart" Target="../charts/chart5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Nathan, NR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Spencer, SS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Dylan, DW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/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#REF!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476250</xdr:colOff>
      <xdr:row>51</xdr:row>
      <xdr:rowOff>42862</xdr:rowOff>
    </xdr:from>
    <xdr:to>
      <xdr:col>8</xdr:col>
      <xdr:colOff>342900</xdr:colOff>
      <xdr:row>65</xdr:row>
      <xdr:rowOff>119062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466725</xdr:colOff>
      <xdr:row>51</xdr:row>
      <xdr:rowOff>19050</xdr:rowOff>
    </xdr:from>
    <xdr:to>
      <xdr:col>17</xdr:col>
      <xdr:colOff>161925</xdr:colOff>
      <xdr:row>65</xdr:row>
      <xdr:rowOff>95250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466725</xdr:colOff>
      <xdr:row>67</xdr:row>
      <xdr:rowOff>42862</xdr:rowOff>
    </xdr:from>
    <xdr:to>
      <xdr:col>8</xdr:col>
      <xdr:colOff>333375</xdr:colOff>
      <xdr:row>81</xdr:row>
      <xdr:rowOff>119062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457200</xdr:colOff>
      <xdr:row>67</xdr:row>
      <xdr:rowOff>19050</xdr:rowOff>
    </xdr:from>
    <xdr:to>
      <xdr:col>17</xdr:col>
      <xdr:colOff>152400</xdr:colOff>
      <xdr:row>81</xdr:row>
      <xdr:rowOff>95250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/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/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Nathan, NR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Spencer, SS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Dylan, DW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/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/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#REF!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workbookViewId="0">
      <selection activeCell="O19" sqref="O19:Y22"/>
    </sheetView>
  </sheetViews>
  <sheetFormatPr defaultColWidth="8.85546875"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9" t="s">
        <v>24</v>
      </c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25" s="10" customFormat="1" x14ac:dyDescent="0.25">
      <c r="C2" s="28" t="s">
        <v>37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1" t="s">
        <v>36</v>
      </c>
      <c r="C3" s="77" t="s">
        <v>22</v>
      </c>
      <c r="D3" s="78"/>
      <c r="E3" s="78"/>
      <c r="F3" s="78"/>
      <c r="G3" s="78"/>
      <c r="H3" s="78"/>
      <c r="I3" s="78"/>
      <c r="J3" s="78"/>
      <c r="K3" s="78"/>
      <c r="L3" s="78"/>
      <c r="M3" s="78"/>
      <c r="N3" s="78" t="s">
        <v>23</v>
      </c>
      <c r="O3" s="78"/>
      <c r="P3" s="78"/>
      <c r="Q3" s="78"/>
      <c r="R3" s="78"/>
      <c r="S3" s="78"/>
      <c r="T3" s="78"/>
      <c r="U3" s="78"/>
      <c r="V3" s="78"/>
      <c r="W3" s="78"/>
      <c r="X3" s="78"/>
      <c r="Y3" s="79"/>
    </row>
    <row r="4" spans="1:25" ht="15.75" x14ac:dyDescent="0.25">
      <c r="C4" s="74" t="s">
        <v>12</v>
      </c>
      <c r="D4" s="74"/>
      <c r="E4" s="74"/>
      <c r="F4" s="74" t="s">
        <v>11</v>
      </c>
      <c r="G4" s="74"/>
      <c r="H4" s="74" t="s">
        <v>13</v>
      </c>
      <c r="I4" s="74"/>
      <c r="J4" s="74" t="s">
        <v>14</v>
      </c>
      <c r="K4" s="74"/>
      <c r="L4" s="71" t="s">
        <v>15</v>
      </c>
      <c r="M4" s="72"/>
      <c r="N4" s="72" t="s">
        <v>16</v>
      </c>
      <c r="O4" s="73"/>
      <c r="P4" s="74" t="s">
        <v>17</v>
      </c>
      <c r="Q4" s="74"/>
      <c r="R4" s="74" t="s">
        <v>18</v>
      </c>
      <c r="S4" s="74"/>
      <c r="T4" s="74" t="s">
        <v>19</v>
      </c>
      <c r="U4" s="74"/>
      <c r="V4" s="74" t="s">
        <v>20</v>
      </c>
      <c r="W4" s="74"/>
      <c r="X4" s="74" t="s">
        <v>21</v>
      </c>
      <c r="Y4" s="74"/>
    </row>
    <row r="5" spans="1:25" s="6" customFormat="1" ht="12.75" x14ac:dyDescent="0.2">
      <c r="B5" s="5" t="s">
        <v>9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1">
        <f t="shared" si="0"/>
        <v>42324</v>
      </c>
      <c r="N5" s="42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10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3">
        <v>11</v>
      </c>
      <c r="N6" s="44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5" t="s">
        <v>44</v>
      </c>
      <c r="B7" s="8" t="str">
        <f xml:space="preserve"> CONCATENATE(Setup!$B$7, ", ", LEFT(Setup!$C$7,2))</f>
        <v>Nathan, NR</v>
      </c>
      <c r="C7" s="25">
        <f>SUM('Sprint 0'!C6:I6)</f>
        <v>2</v>
      </c>
      <c r="D7" s="25">
        <f>SUM('Sprint 0'!J6:P6)</f>
        <v>1</v>
      </c>
      <c r="E7" s="25">
        <f>SUM('Sprint 0'!Q6:W6)</f>
        <v>1</v>
      </c>
      <c r="F7" s="25">
        <f>SUM('Sprint 1'!C6:I6)</f>
        <v>1</v>
      </c>
      <c r="G7" s="25">
        <f>SUM('Sprint 1'!J6:P6)</f>
        <v>5</v>
      </c>
      <c r="H7" s="25">
        <f>SUM('Sprint 2'!C6:I6)</f>
        <v>5</v>
      </c>
      <c r="I7" s="25">
        <f>SUM('Sprint 2'!J6:P6)</f>
        <v>10.5</v>
      </c>
      <c r="J7" s="25">
        <f>SUM('Sprint 3'!C6:I6)</f>
        <v>11</v>
      </c>
      <c r="K7" s="25">
        <f>SUM('Sprint 3'!J6:P6)</f>
        <v>9</v>
      </c>
      <c r="L7" s="25">
        <f>SUM('Sprint 4'!C6:I6)</f>
        <v>6</v>
      </c>
      <c r="M7" s="25">
        <f>SUM('Sprint 4'!J6:P6)</f>
        <v>9</v>
      </c>
      <c r="N7" s="45">
        <f>SUM('Sprint 5'!C6:I6)</f>
        <v>1.5</v>
      </c>
      <c r="O7" s="22">
        <f>SUM('Sprint 5'!J6:P6)</f>
        <v>12</v>
      </c>
      <c r="P7" s="22">
        <f>SUM('Sprint 6'!C6:I6)</f>
        <v>0</v>
      </c>
      <c r="Q7" s="22">
        <f>SUM('Sprint 6'!J6:P6)</f>
        <v>20</v>
      </c>
      <c r="R7" s="22">
        <f>SUM('Sprint 7'!C6:I6)</f>
        <v>6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5"/>
      <c r="B8" s="8" t="str">
        <f xml:space="preserve"> CONCATENATE(Setup!$B$8, ", ", LEFT(Setup!$C$8,2))</f>
        <v>Spencer, SS</v>
      </c>
      <c r="C8" s="25">
        <f>SUM('Sprint 0'!C7:I7)</f>
        <v>0</v>
      </c>
      <c r="D8" s="25">
        <f>SUM('Sprint 0'!J7:P7)</f>
        <v>0.5</v>
      </c>
      <c r="E8" s="25">
        <f>SUM('Sprint 0'!Q7:W7)</f>
        <v>0.5</v>
      </c>
      <c r="F8" s="25">
        <f>SUM('Sprint 1'!C7:I7)</f>
        <v>0.5</v>
      </c>
      <c r="G8" s="25">
        <f>SUM('Sprint 1'!J7:P7)</f>
        <v>1.5</v>
      </c>
      <c r="H8" s="25">
        <f>SUM('Sprint 2'!C7:I7)</f>
        <v>2</v>
      </c>
      <c r="I8" s="25">
        <f>SUM('Sprint 2'!J7:P7)</f>
        <v>12.003</v>
      </c>
      <c r="J8" s="25">
        <f>SUM('Sprint 3'!C7:I7)</f>
        <v>11</v>
      </c>
      <c r="K8" s="25">
        <f>SUM('Sprint 3'!J7:P7)</f>
        <v>8</v>
      </c>
      <c r="L8" s="25">
        <f>SUM('Sprint 4'!C7:I7)</f>
        <v>2</v>
      </c>
      <c r="M8" s="25">
        <f>SUM('Sprint 4'!J7:P7)</f>
        <v>6</v>
      </c>
      <c r="N8" s="45">
        <f>SUM('Sprint 5'!C7:I7)</f>
        <v>10</v>
      </c>
      <c r="O8" s="22">
        <f>SUM('Sprint 5'!J7:P7)</f>
        <v>6</v>
      </c>
      <c r="P8" s="22">
        <f>SUM('Sprint 6'!C7:I7)</f>
        <v>8</v>
      </c>
      <c r="Q8" s="22">
        <f>SUM('Sprint 6'!J7:P7)</f>
        <v>0</v>
      </c>
      <c r="R8" s="22">
        <f>SUM('Sprint 7'!C7:I7)</f>
        <v>3</v>
      </c>
      <c r="S8" s="22">
        <f>SUM('Sprint 7'!J7:P7)</f>
        <v>11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5"/>
      <c r="B9" s="8" t="str">
        <f xml:space="preserve"> CONCATENATE(Setup!$B$9, ", ", LEFT(Setup!$C$9,2))</f>
        <v>Dylan, DW</v>
      </c>
      <c r="C9" s="25">
        <f>SUM('Sprint 0'!C8:I8)</f>
        <v>1</v>
      </c>
      <c r="D9" s="25">
        <f>SUM('Sprint 0'!J8:P8)</f>
        <v>1.75</v>
      </c>
      <c r="E9" s="25">
        <f>SUM('Sprint 0'!Q8:W8)</f>
        <v>5</v>
      </c>
      <c r="F9" s="25">
        <f>SUM('Sprint 1'!C8:I8)</f>
        <v>3</v>
      </c>
      <c r="G9" s="25">
        <f>SUM('Sprint 1'!J8:P8)</f>
        <v>1</v>
      </c>
      <c r="H9" s="25">
        <f>SUM('Sprint 2'!C8:I8)</f>
        <v>5.0670000000000002</v>
      </c>
      <c r="I9" s="25">
        <f>SUM('Sprint 2'!J8:P8)</f>
        <v>5.5</v>
      </c>
      <c r="J9" s="25">
        <f>SUM('Sprint 3'!C8:I8)</f>
        <v>6</v>
      </c>
      <c r="K9" s="25">
        <f>SUM('Sprint 3'!J8:P8)</f>
        <v>5</v>
      </c>
      <c r="L9" s="25">
        <f>SUM('Sprint 4'!C8:I8)</f>
        <v>0</v>
      </c>
      <c r="M9" s="25">
        <f>SUM('Sprint 4'!J8:P8)</f>
        <v>0</v>
      </c>
      <c r="N9" s="45">
        <f>SUM('Sprint 5'!C8:I8)</f>
        <v>12</v>
      </c>
      <c r="O9" s="22">
        <f>SUM('Sprint 5'!J8:P8)</f>
        <v>5</v>
      </c>
      <c r="P9" s="22">
        <f>SUM('Sprint 6'!C8:I8)</f>
        <v>4</v>
      </c>
      <c r="Q9" s="22">
        <f>SUM('Sprint 6'!J8:P8)</f>
        <v>9</v>
      </c>
      <c r="R9" s="22">
        <f>SUM('Sprint 7'!C8:I8)</f>
        <v>7</v>
      </c>
      <c r="S9" s="22">
        <f>SUM('Sprint 7'!J8:P8)</f>
        <v>5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5"/>
      <c r="B10" s="8" t="e">
        <f xml:space="preserve"> CONCATENATE(Setup!#REF!, ", ", LEFT(Setup!#REF!,2))</f>
        <v>#REF!</v>
      </c>
      <c r="C10" s="25">
        <f>SUM('Sprint 0'!C9:I9)</f>
        <v>0</v>
      </c>
      <c r="D10" s="25">
        <f>SUM('Sprint 0'!J9:P9)</f>
        <v>0</v>
      </c>
      <c r="E10" s="25">
        <f>SUM('Sprint 0'!Q9:W9)</f>
        <v>0</v>
      </c>
      <c r="F10" s="25">
        <f>SUM('Sprint 1'!C9:I9)</f>
        <v>0</v>
      </c>
      <c r="G10" s="25">
        <f>SUM('Sprint 1'!J9:P9)</f>
        <v>0</v>
      </c>
      <c r="H10" s="25">
        <f>SUM('Sprint 2'!C9:I9)</f>
        <v>0</v>
      </c>
      <c r="I10" s="25">
        <f>SUM('Sprint 2'!J9:P9)</f>
        <v>0</v>
      </c>
      <c r="J10" s="25">
        <f>SUM('Sprint 3'!C9:I9)</f>
        <v>0</v>
      </c>
      <c r="K10" s="25">
        <f>SUM('Sprint 3'!J9:P9)</f>
        <v>0</v>
      </c>
      <c r="L10" s="25">
        <f>SUM('Sprint 4'!C9:I9)</f>
        <v>0</v>
      </c>
      <c r="M10" s="25">
        <f>SUM('Sprint 4'!J9:P9)</f>
        <v>0</v>
      </c>
      <c r="N10" s="45">
        <f>SUM('Sprint 5'!C9:I9)</f>
        <v>0</v>
      </c>
      <c r="O10" s="22">
        <f>SUM('Sprint 5'!J9:P9)</f>
        <v>0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5"/>
      <c r="B11" s="9" t="s">
        <v>30</v>
      </c>
      <c r="C11" s="21">
        <f xml:space="preserve"> SUM(C7:C10)</f>
        <v>3</v>
      </c>
      <c r="D11" s="21">
        <f t="shared" ref="D11:M11" si="2" xml:space="preserve"> SUM(D7:D10)</f>
        <v>3.25</v>
      </c>
      <c r="E11" s="21">
        <f t="shared" si="2"/>
        <v>6.5</v>
      </c>
      <c r="F11" s="21">
        <f t="shared" si="2"/>
        <v>4.5</v>
      </c>
      <c r="G11" s="21">
        <f t="shared" si="2"/>
        <v>7.5</v>
      </c>
      <c r="H11" s="21">
        <f t="shared" si="2"/>
        <v>12.067</v>
      </c>
      <c r="I11" s="21">
        <f t="shared" si="2"/>
        <v>28.003</v>
      </c>
      <c r="J11" s="21">
        <f t="shared" si="2"/>
        <v>28</v>
      </c>
      <c r="K11" s="21">
        <f t="shared" si="2"/>
        <v>22</v>
      </c>
      <c r="L11" s="21">
        <f t="shared" si="2"/>
        <v>8</v>
      </c>
      <c r="M11" s="21">
        <f t="shared" si="2"/>
        <v>15</v>
      </c>
      <c r="N11" s="47">
        <f>SUM(N7:N10)</f>
        <v>23.5</v>
      </c>
      <c r="O11" s="65">
        <f t="shared" ref="O11:Y11" si="3">SUM(O7:O10)</f>
        <v>23</v>
      </c>
      <c r="P11" s="65">
        <f t="shared" si="3"/>
        <v>12</v>
      </c>
      <c r="Q11" s="65">
        <f t="shared" si="3"/>
        <v>29</v>
      </c>
      <c r="R11" s="65">
        <f t="shared" si="3"/>
        <v>16</v>
      </c>
      <c r="S11" s="65">
        <f t="shared" si="3"/>
        <v>16</v>
      </c>
      <c r="T11" s="65">
        <f t="shared" si="3"/>
        <v>0</v>
      </c>
      <c r="U11" s="65">
        <f t="shared" si="3"/>
        <v>0</v>
      </c>
      <c r="V11" s="65">
        <f t="shared" si="3"/>
        <v>0</v>
      </c>
      <c r="W11" s="65">
        <f t="shared" si="3"/>
        <v>0</v>
      </c>
      <c r="X11" s="65">
        <f t="shared" si="3"/>
        <v>0</v>
      </c>
      <c r="Y11" s="65">
        <f t="shared" si="3"/>
        <v>0</v>
      </c>
    </row>
    <row r="12" spans="1:25" x14ac:dyDescent="0.25">
      <c r="A12" s="6"/>
      <c r="M12" s="48"/>
      <c r="N12" s="49"/>
    </row>
    <row r="13" spans="1:25" x14ac:dyDescent="0.25">
      <c r="A13" s="75" t="s">
        <v>45</v>
      </c>
      <c r="B13" s="8" t="str">
        <f xml:space="preserve"> CONCATENATE(Setup!$B$7, ", ", LEFT(Setup!$C$7,2))</f>
        <v>Nathan, NR</v>
      </c>
      <c r="C13" s="25">
        <f>SUM('Sprint 0'!C18:I18)</f>
        <v>0</v>
      </c>
      <c r="D13" s="25">
        <f>SUM('Sprint 0'!J18:P18)</f>
        <v>4</v>
      </c>
      <c r="E13" s="25">
        <f>SUM('Sprint 0'!Q18:W18)</f>
        <v>3.5</v>
      </c>
      <c r="F13" s="25">
        <f>SUM('Sprint 1'!C18:I18)</f>
        <v>0</v>
      </c>
      <c r="G13" s="25">
        <f>SUM('Sprint 1'!J18:P18)</f>
        <v>1</v>
      </c>
      <c r="H13" s="25">
        <f>SUM('Sprint 2'!C18:I18)</f>
        <v>0</v>
      </c>
      <c r="I13" s="25">
        <f>SUM('Sprint 2'!J18:P18)</f>
        <v>0</v>
      </c>
      <c r="J13" s="25">
        <f>SUM('Sprint 3'!C18:I18)</f>
        <v>0</v>
      </c>
      <c r="K13" s="25">
        <f>SUM('Sprint 3'!J18:P18)</f>
        <v>0</v>
      </c>
      <c r="L13" s="25">
        <f>SUM('Sprint 4'!C18:I18)</f>
        <v>0</v>
      </c>
      <c r="M13" s="25">
        <f>SUM('Sprint 4'!J18:P18)</f>
        <v>0</v>
      </c>
      <c r="N13" s="45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5"/>
      <c r="B14" s="8" t="str">
        <f xml:space="preserve"> CONCATENATE(Setup!$B$8, ", ", LEFT(Setup!$C$8,2))</f>
        <v>Spencer, SS</v>
      </c>
      <c r="C14" s="25">
        <f>SUM('Sprint 0'!C19:I19)</f>
        <v>2.66</v>
      </c>
      <c r="D14" s="25">
        <f>SUM('Sprint 0'!J19:P19)</f>
        <v>8.5</v>
      </c>
      <c r="E14" s="25">
        <f>SUM('Sprint 0'!Q19:W19)</f>
        <v>4.9000000000000004</v>
      </c>
      <c r="F14" s="25">
        <f>SUM('Sprint 1'!C19:I19)</f>
        <v>5.75</v>
      </c>
      <c r="G14" s="25">
        <f>SUM('Sprint 1'!J19:P19)</f>
        <v>1.5</v>
      </c>
      <c r="H14" s="25">
        <f>SUM('Sprint 2'!C19:I19)</f>
        <v>0</v>
      </c>
      <c r="I14" s="25">
        <f>SUM('Sprint 2'!J19:P19)</f>
        <v>0</v>
      </c>
      <c r="J14" s="25">
        <f>SUM('Sprint 3'!C19:I19)</f>
        <v>0</v>
      </c>
      <c r="K14" s="25">
        <f>SUM('Sprint 3'!J19:P19)</f>
        <v>0</v>
      </c>
      <c r="L14" s="25">
        <f>SUM('Sprint 4'!C19:I19)</f>
        <v>0</v>
      </c>
      <c r="M14" s="25">
        <f>SUM('Sprint 4'!J19:P19)</f>
        <v>0</v>
      </c>
      <c r="N14" s="45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5"/>
      <c r="B15" s="8" t="str">
        <f xml:space="preserve"> CONCATENATE(Setup!$B$9, ", ", LEFT(Setup!$C$9,2))</f>
        <v>Dylan, DW</v>
      </c>
      <c r="C15" s="25">
        <f>SUM('Sprint 0'!C20:I20)</f>
        <v>0.25</v>
      </c>
      <c r="D15" s="25">
        <f>SUM('Sprint 0'!J20:P20)</f>
        <v>1.25</v>
      </c>
      <c r="E15" s="25">
        <f>SUM('Sprint 0'!Q20:W20)</f>
        <v>4</v>
      </c>
      <c r="F15" s="25">
        <f>SUM('Sprint 1'!C20:I20)</f>
        <v>0.5</v>
      </c>
      <c r="G15" s="25">
        <f>SUM('Sprint 1'!J20:P20)</f>
        <v>0.5</v>
      </c>
      <c r="H15" s="25">
        <f>SUM('Sprint 2'!C20:I20)</f>
        <v>0</v>
      </c>
      <c r="I15" s="25">
        <f>SUM('Sprint 2'!J20:P20)</f>
        <v>0</v>
      </c>
      <c r="J15" s="25">
        <f>SUM('Sprint 3'!C20:I20)</f>
        <v>0</v>
      </c>
      <c r="K15" s="25">
        <f>SUM('Sprint 3'!J20:P20)</f>
        <v>0</v>
      </c>
      <c r="L15" s="25">
        <f>SUM('Sprint 4'!C20:I20)</f>
        <v>2</v>
      </c>
      <c r="M15" s="25">
        <f>SUM('Sprint 4'!J20:P20)</f>
        <v>0.5</v>
      </c>
      <c r="N15" s="45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5"/>
      <c r="B16" s="8" t="e">
        <f xml:space="preserve"> CONCATENATE(Setup!#REF!, ", ", LEFT(Setup!#REF!,2))</f>
        <v>#REF!</v>
      </c>
      <c r="C16" s="25">
        <f>SUM('Sprint 0'!C21:I21)</f>
        <v>0</v>
      </c>
      <c r="D16" s="25">
        <f>SUM('Sprint 0'!J21:P21)</f>
        <v>0</v>
      </c>
      <c r="E16" s="25">
        <f>SUM('Sprint 0'!Q21:W21)</f>
        <v>0</v>
      </c>
      <c r="F16" s="25">
        <f>SUM('Sprint 1'!C21:I21)</f>
        <v>0</v>
      </c>
      <c r="G16" s="25">
        <f>SUM('Sprint 1'!J21:P21)</f>
        <v>0</v>
      </c>
      <c r="H16" s="25">
        <f>SUM('Sprint 2'!C21:I21)</f>
        <v>0</v>
      </c>
      <c r="I16" s="25">
        <f>SUM('Sprint 2'!J21:P21)</f>
        <v>0</v>
      </c>
      <c r="J16" s="25">
        <f>SUM('Sprint 3'!C21:I21)</f>
        <v>0</v>
      </c>
      <c r="K16" s="25">
        <f>SUM('Sprint 3'!J21:P21)</f>
        <v>0</v>
      </c>
      <c r="L16" s="25">
        <f>SUM('Sprint 4'!C21:I21)</f>
        <v>0</v>
      </c>
      <c r="M16" s="25">
        <f>SUM('Sprint 4'!J21:P21)</f>
        <v>0</v>
      </c>
      <c r="N16" s="45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5"/>
      <c r="B17" s="9" t="s">
        <v>30</v>
      </c>
      <c r="C17" s="21">
        <f t="shared" ref="C17:M17" si="4" xml:space="preserve"> SUM(C13:C16)</f>
        <v>2.91</v>
      </c>
      <c r="D17" s="21">
        <f t="shared" si="4"/>
        <v>13.75</v>
      </c>
      <c r="E17" s="21">
        <f t="shared" si="4"/>
        <v>12.4</v>
      </c>
      <c r="F17" s="21">
        <f t="shared" si="4"/>
        <v>6.25</v>
      </c>
      <c r="G17" s="21">
        <f t="shared" si="4"/>
        <v>3</v>
      </c>
      <c r="H17" s="21">
        <f t="shared" si="4"/>
        <v>0</v>
      </c>
      <c r="I17" s="21">
        <f t="shared" si="4"/>
        <v>0</v>
      </c>
      <c r="J17" s="21">
        <f t="shared" si="4"/>
        <v>0</v>
      </c>
      <c r="K17" s="21">
        <f t="shared" si="4"/>
        <v>0</v>
      </c>
      <c r="L17" s="21">
        <f t="shared" si="4"/>
        <v>2</v>
      </c>
      <c r="M17" s="21">
        <f t="shared" si="4"/>
        <v>0.5</v>
      </c>
      <c r="N17" s="47">
        <f t="shared" ref="N17:Y17" si="5">SUM(N13:N16)</f>
        <v>0</v>
      </c>
      <c r="O17" s="65">
        <f t="shared" si="5"/>
        <v>0</v>
      </c>
      <c r="P17" s="65">
        <f t="shared" si="5"/>
        <v>0</v>
      </c>
      <c r="Q17" s="65">
        <f t="shared" si="5"/>
        <v>0</v>
      </c>
      <c r="R17" s="65">
        <f t="shared" si="5"/>
        <v>0</v>
      </c>
      <c r="S17" s="65">
        <f t="shared" si="5"/>
        <v>0</v>
      </c>
      <c r="T17" s="65">
        <f t="shared" si="5"/>
        <v>0</v>
      </c>
      <c r="U17" s="65">
        <f t="shared" si="5"/>
        <v>0</v>
      </c>
      <c r="V17" s="65">
        <f t="shared" si="5"/>
        <v>0</v>
      </c>
      <c r="W17" s="65">
        <f t="shared" si="5"/>
        <v>0</v>
      </c>
      <c r="X17" s="65">
        <f t="shared" si="5"/>
        <v>0</v>
      </c>
      <c r="Y17" s="65">
        <f t="shared" si="5"/>
        <v>0</v>
      </c>
    </row>
    <row r="18" spans="1:25" x14ac:dyDescent="0.25">
      <c r="M18" s="48"/>
      <c r="N18" s="49"/>
    </row>
    <row r="19" spans="1:25" x14ac:dyDescent="0.25">
      <c r="A19" s="76" t="s">
        <v>39</v>
      </c>
      <c r="B19" s="8" t="str">
        <f xml:space="preserve"> CONCATENATE(Setup!$B$7, ", ", LEFT(Setup!$C$7,2))</f>
        <v>Nathan, NR</v>
      </c>
      <c r="C19" s="25">
        <f xml:space="preserve"> C7 + C13</f>
        <v>2</v>
      </c>
      <c r="D19" s="25">
        <f xml:space="preserve"> C19 + D7 + D13</f>
        <v>7</v>
      </c>
      <c r="E19" s="25">
        <f t="shared" ref="E19:M19" si="6" xml:space="preserve"> D19 + E7 + E13</f>
        <v>11.5</v>
      </c>
      <c r="F19" s="25">
        <f t="shared" si="6"/>
        <v>12.5</v>
      </c>
      <c r="G19" s="25">
        <f t="shared" si="6"/>
        <v>18.5</v>
      </c>
      <c r="H19" s="25">
        <f t="shared" si="6"/>
        <v>23.5</v>
      </c>
      <c r="I19" s="25">
        <f t="shared" si="6"/>
        <v>34</v>
      </c>
      <c r="J19" s="25">
        <f t="shared" si="6"/>
        <v>45</v>
      </c>
      <c r="K19" s="25">
        <f t="shared" si="6"/>
        <v>54</v>
      </c>
      <c r="L19" s="25">
        <f t="shared" si="6"/>
        <v>60</v>
      </c>
      <c r="M19" s="25">
        <f t="shared" si="6"/>
        <v>69</v>
      </c>
      <c r="N19" s="45">
        <f t="shared" ref="N19:O22" si="7" xml:space="preserve"> M19 + N7 + N13</f>
        <v>70.5</v>
      </c>
      <c r="O19" s="25">
        <f t="shared" si="7"/>
        <v>82.5</v>
      </c>
      <c r="P19" s="25">
        <f t="shared" ref="P19:Y19" si="8" xml:space="preserve"> O19 + P7 + P13</f>
        <v>82.5</v>
      </c>
      <c r="Q19" s="25">
        <f t="shared" si="8"/>
        <v>102.5</v>
      </c>
      <c r="R19" s="25">
        <f t="shared" si="8"/>
        <v>108.5</v>
      </c>
      <c r="S19" s="25">
        <f t="shared" si="8"/>
        <v>108.5</v>
      </c>
      <c r="T19" s="25">
        <f t="shared" si="8"/>
        <v>108.5</v>
      </c>
      <c r="U19" s="25">
        <f t="shared" si="8"/>
        <v>108.5</v>
      </c>
      <c r="V19" s="25">
        <f t="shared" si="8"/>
        <v>108.5</v>
      </c>
      <c r="W19" s="25">
        <f t="shared" si="8"/>
        <v>108.5</v>
      </c>
      <c r="X19" s="25">
        <f t="shared" si="8"/>
        <v>108.5</v>
      </c>
      <c r="Y19" s="25">
        <f t="shared" si="8"/>
        <v>108.5</v>
      </c>
    </row>
    <row r="20" spans="1:25" x14ac:dyDescent="0.25">
      <c r="A20" s="76"/>
      <c r="B20" s="8" t="str">
        <f xml:space="preserve"> CONCATENATE(Setup!$B$8, ", ", LEFT(Setup!$C$8,2))</f>
        <v>Spencer, SS</v>
      </c>
      <c r="C20" s="25">
        <f xml:space="preserve"> C8 + C14</f>
        <v>2.66</v>
      </c>
      <c r="D20" s="25">
        <f xml:space="preserve"> C20 + D8 + D14</f>
        <v>11.66</v>
      </c>
      <c r="E20" s="25">
        <f t="shared" ref="E20:M20" si="9" xml:space="preserve"> D20 + E8 + E14</f>
        <v>17.060000000000002</v>
      </c>
      <c r="F20" s="25">
        <f t="shared" si="9"/>
        <v>23.310000000000002</v>
      </c>
      <c r="G20" s="25">
        <f t="shared" si="9"/>
        <v>26.310000000000002</v>
      </c>
      <c r="H20" s="25">
        <f t="shared" si="9"/>
        <v>28.310000000000002</v>
      </c>
      <c r="I20" s="25">
        <f t="shared" si="9"/>
        <v>40.313000000000002</v>
      </c>
      <c r="J20" s="25">
        <f t="shared" si="9"/>
        <v>51.313000000000002</v>
      </c>
      <c r="K20" s="25">
        <f t="shared" si="9"/>
        <v>59.313000000000002</v>
      </c>
      <c r="L20" s="25">
        <f t="shared" si="9"/>
        <v>61.313000000000002</v>
      </c>
      <c r="M20" s="25">
        <f t="shared" si="9"/>
        <v>67.313000000000002</v>
      </c>
      <c r="N20" s="45">
        <f t="shared" si="7"/>
        <v>77.313000000000002</v>
      </c>
      <c r="O20" s="25">
        <f t="shared" si="7"/>
        <v>83.313000000000002</v>
      </c>
      <c r="P20" s="25">
        <f t="shared" ref="P20:Y20" si="10" xml:space="preserve"> O20 + P8 + P14</f>
        <v>91.313000000000002</v>
      </c>
      <c r="Q20" s="25">
        <f t="shared" si="10"/>
        <v>91.313000000000002</v>
      </c>
      <c r="R20" s="25">
        <f t="shared" si="10"/>
        <v>94.313000000000002</v>
      </c>
      <c r="S20" s="25">
        <f t="shared" si="10"/>
        <v>105.313</v>
      </c>
      <c r="T20" s="25">
        <f t="shared" si="10"/>
        <v>105.313</v>
      </c>
      <c r="U20" s="25">
        <f t="shared" si="10"/>
        <v>105.313</v>
      </c>
      <c r="V20" s="25">
        <f t="shared" si="10"/>
        <v>105.313</v>
      </c>
      <c r="W20" s="25">
        <f t="shared" si="10"/>
        <v>105.313</v>
      </c>
      <c r="X20" s="25">
        <f t="shared" si="10"/>
        <v>105.313</v>
      </c>
      <c r="Y20" s="25">
        <f t="shared" si="10"/>
        <v>105.313</v>
      </c>
    </row>
    <row r="21" spans="1:25" x14ac:dyDescent="0.25">
      <c r="A21" s="76"/>
      <c r="B21" s="8" t="str">
        <f xml:space="preserve"> CONCATENATE(Setup!$B$9, ", ", LEFT(Setup!$C$9,2))</f>
        <v>Dylan, DW</v>
      </c>
      <c r="C21" s="25">
        <f xml:space="preserve"> C9 + C15</f>
        <v>1.25</v>
      </c>
      <c r="D21" s="25">
        <f xml:space="preserve"> C21 + D9 + D15</f>
        <v>4.25</v>
      </c>
      <c r="E21" s="25">
        <f t="shared" ref="E21:M21" si="11" xml:space="preserve"> D21 + E9 + E15</f>
        <v>13.25</v>
      </c>
      <c r="F21" s="25">
        <f t="shared" si="11"/>
        <v>16.75</v>
      </c>
      <c r="G21" s="25">
        <f t="shared" si="11"/>
        <v>18.25</v>
      </c>
      <c r="H21" s="25">
        <f t="shared" si="11"/>
        <v>23.317</v>
      </c>
      <c r="I21" s="25">
        <f t="shared" si="11"/>
        <v>28.817</v>
      </c>
      <c r="J21" s="25">
        <f t="shared" si="11"/>
        <v>34.817</v>
      </c>
      <c r="K21" s="25">
        <f t="shared" si="11"/>
        <v>39.817</v>
      </c>
      <c r="L21" s="25">
        <f t="shared" si="11"/>
        <v>41.817</v>
      </c>
      <c r="M21" s="25">
        <f t="shared" si="11"/>
        <v>42.317</v>
      </c>
      <c r="N21" s="45">
        <f t="shared" si="7"/>
        <v>54.317</v>
      </c>
      <c r="O21" s="25">
        <f t="shared" si="7"/>
        <v>59.317</v>
      </c>
      <c r="P21" s="25">
        <f t="shared" ref="P21:Y21" si="12" xml:space="preserve"> O21 + P9 + P15</f>
        <v>63.317</v>
      </c>
      <c r="Q21" s="25">
        <f t="shared" si="12"/>
        <v>72.317000000000007</v>
      </c>
      <c r="R21" s="25">
        <f t="shared" si="12"/>
        <v>79.317000000000007</v>
      </c>
      <c r="S21" s="25">
        <f t="shared" si="12"/>
        <v>84.317000000000007</v>
      </c>
      <c r="T21" s="25">
        <f t="shared" si="12"/>
        <v>84.317000000000007</v>
      </c>
      <c r="U21" s="25">
        <f t="shared" si="12"/>
        <v>84.317000000000007</v>
      </c>
      <c r="V21" s="25">
        <f t="shared" si="12"/>
        <v>84.317000000000007</v>
      </c>
      <c r="W21" s="25">
        <f t="shared" si="12"/>
        <v>84.317000000000007</v>
      </c>
      <c r="X21" s="25">
        <f t="shared" si="12"/>
        <v>84.317000000000007</v>
      </c>
      <c r="Y21" s="25">
        <f t="shared" si="12"/>
        <v>84.317000000000007</v>
      </c>
    </row>
    <row r="22" spans="1:25" x14ac:dyDescent="0.25">
      <c r="A22" s="76"/>
      <c r="B22" s="8" t="e">
        <f xml:space="preserve"> CONCATENATE(Setup!#REF!, ", ", LEFT(Setup!#REF!,2))</f>
        <v>#REF!</v>
      </c>
      <c r="C22" s="25">
        <f xml:space="preserve"> C10 + C16</f>
        <v>0</v>
      </c>
      <c r="D22" s="25">
        <f xml:space="preserve"> C22 + D10 + D16</f>
        <v>0</v>
      </c>
      <c r="E22" s="25">
        <f t="shared" ref="E22:M22" si="13" xml:space="preserve"> D22 + E10 + E16</f>
        <v>0</v>
      </c>
      <c r="F22" s="25">
        <f t="shared" si="13"/>
        <v>0</v>
      </c>
      <c r="G22" s="25">
        <f t="shared" si="13"/>
        <v>0</v>
      </c>
      <c r="H22" s="25">
        <f t="shared" si="13"/>
        <v>0</v>
      </c>
      <c r="I22" s="25">
        <f t="shared" si="13"/>
        <v>0</v>
      </c>
      <c r="J22" s="25">
        <f t="shared" si="13"/>
        <v>0</v>
      </c>
      <c r="K22" s="25">
        <f t="shared" si="13"/>
        <v>0</v>
      </c>
      <c r="L22" s="25">
        <f t="shared" si="13"/>
        <v>0</v>
      </c>
      <c r="M22" s="25">
        <f t="shared" si="13"/>
        <v>0</v>
      </c>
      <c r="N22" s="45">
        <f t="shared" si="7"/>
        <v>0</v>
      </c>
      <c r="O22" s="25">
        <f t="shared" si="7"/>
        <v>0</v>
      </c>
      <c r="P22" s="25">
        <f t="shared" ref="P22:Y22" si="14" xml:space="preserve"> O22 + P10 + P16</f>
        <v>0</v>
      </c>
      <c r="Q22" s="25">
        <f t="shared" si="14"/>
        <v>0</v>
      </c>
      <c r="R22" s="25">
        <f t="shared" si="14"/>
        <v>0</v>
      </c>
      <c r="S22" s="25">
        <f t="shared" si="14"/>
        <v>0</v>
      </c>
      <c r="T22" s="25">
        <f t="shared" si="14"/>
        <v>0</v>
      </c>
      <c r="U22" s="25">
        <f t="shared" si="14"/>
        <v>0</v>
      </c>
      <c r="V22" s="25">
        <f t="shared" si="14"/>
        <v>0</v>
      </c>
      <c r="W22" s="25">
        <f t="shared" si="14"/>
        <v>0</v>
      </c>
      <c r="X22" s="25">
        <f t="shared" si="14"/>
        <v>0</v>
      </c>
      <c r="Y22" s="25">
        <f t="shared" si="14"/>
        <v>0</v>
      </c>
    </row>
    <row r="23" spans="1:25" ht="15.75" x14ac:dyDescent="0.25">
      <c r="A23" s="76"/>
      <c r="B23" s="9" t="s">
        <v>30</v>
      </c>
      <c r="C23" s="21">
        <f xml:space="preserve"> C11 + C17</f>
        <v>5.91</v>
      </c>
      <c r="D23" s="21">
        <f xml:space="preserve"> C23 + D11 + D17</f>
        <v>22.91</v>
      </c>
      <c r="E23" s="21">
        <f t="shared" ref="E23:Y23" si="15" xml:space="preserve"> D23 + E11 + E17</f>
        <v>41.81</v>
      </c>
      <c r="F23" s="21">
        <f t="shared" si="15"/>
        <v>52.56</v>
      </c>
      <c r="G23" s="21">
        <f t="shared" si="15"/>
        <v>63.06</v>
      </c>
      <c r="H23" s="21">
        <f t="shared" si="15"/>
        <v>75.12700000000001</v>
      </c>
      <c r="I23" s="21">
        <f t="shared" si="15"/>
        <v>103.13000000000001</v>
      </c>
      <c r="J23" s="21">
        <f t="shared" si="15"/>
        <v>131.13</v>
      </c>
      <c r="K23" s="21">
        <f t="shared" si="15"/>
        <v>153.13</v>
      </c>
      <c r="L23" s="21">
        <f t="shared" si="15"/>
        <v>163.13</v>
      </c>
      <c r="M23" s="46">
        <f t="shared" si="15"/>
        <v>178.63</v>
      </c>
      <c r="N23" s="47">
        <f t="shared" si="15"/>
        <v>202.13</v>
      </c>
      <c r="O23" s="21">
        <f t="shared" si="15"/>
        <v>225.13</v>
      </c>
      <c r="P23" s="21">
        <f t="shared" si="15"/>
        <v>237.13</v>
      </c>
      <c r="Q23" s="21">
        <f t="shared" si="15"/>
        <v>266.13</v>
      </c>
      <c r="R23" s="21">
        <f t="shared" si="15"/>
        <v>282.13</v>
      </c>
      <c r="S23" s="21">
        <f t="shared" si="15"/>
        <v>298.13</v>
      </c>
      <c r="T23" s="21">
        <f t="shared" si="15"/>
        <v>298.13</v>
      </c>
      <c r="U23" s="21">
        <f t="shared" si="15"/>
        <v>298.13</v>
      </c>
      <c r="V23" s="21">
        <f t="shared" si="15"/>
        <v>298.13</v>
      </c>
      <c r="W23" s="21">
        <f t="shared" si="15"/>
        <v>298.13</v>
      </c>
      <c r="X23" s="21">
        <f t="shared" si="15"/>
        <v>298.13</v>
      </c>
      <c r="Y23" s="21">
        <f t="shared" si="15"/>
        <v>298.13</v>
      </c>
    </row>
    <row r="24" spans="1:25" ht="15.75" x14ac:dyDescent="0.25">
      <c r="A24" s="19"/>
      <c r="B24" s="20"/>
      <c r="M24" s="48"/>
      <c r="N24" s="49"/>
    </row>
    <row r="25" spans="1:25" x14ac:dyDescent="0.25">
      <c r="A25" s="76" t="s">
        <v>8</v>
      </c>
      <c r="B25" s="8" t="str">
        <f xml:space="preserve"> CONCATENATE(Setup!$B$7, ", ", LEFT(Setup!$C$7,2))</f>
        <v>Nathan, NR</v>
      </c>
      <c r="C25" s="29">
        <f xml:space="preserve"> C19 / C$6</f>
        <v>2</v>
      </c>
      <c r="D25" s="29">
        <f xml:space="preserve"> D19 / D$6</f>
        <v>3.5</v>
      </c>
      <c r="E25" s="29">
        <f xml:space="preserve"> E19 / E$6</f>
        <v>3.8333333333333335</v>
      </c>
      <c r="F25" s="29">
        <f t="shared" ref="F25:Y25" si="16" xml:space="preserve"> F19 / F$6</f>
        <v>3.125</v>
      </c>
      <c r="G25" s="29">
        <f t="shared" si="16"/>
        <v>3.7</v>
      </c>
      <c r="H25" s="29">
        <f t="shared" si="16"/>
        <v>3.9166666666666665</v>
      </c>
      <c r="I25" s="29">
        <f t="shared" si="16"/>
        <v>4.8571428571428568</v>
      </c>
      <c r="J25" s="29">
        <f t="shared" si="16"/>
        <v>5.625</v>
      </c>
      <c r="K25" s="29">
        <f t="shared" si="16"/>
        <v>6</v>
      </c>
      <c r="L25" s="29">
        <f t="shared" si="16"/>
        <v>6</v>
      </c>
      <c r="M25" s="50">
        <f t="shared" si="16"/>
        <v>6.2727272727272725</v>
      </c>
      <c r="N25" s="51">
        <f t="shared" si="16"/>
        <v>5.875</v>
      </c>
      <c r="O25" s="29">
        <f t="shared" si="16"/>
        <v>6.3461538461538458</v>
      </c>
      <c r="P25" s="29">
        <f t="shared" si="16"/>
        <v>5.8928571428571432</v>
      </c>
      <c r="Q25" s="29">
        <f t="shared" si="16"/>
        <v>6.833333333333333</v>
      </c>
      <c r="R25" s="29">
        <f t="shared" si="16"/>
        <v>6.78125</v>
      </c>
      <c r="S25" s="29">
        <f t="shared" si="16"/>
        <v>6.382352941176471</v>
      </c>
      <c r="T25" s="29">
        <f t="shared" si="16"/>
        <v>6.0277777777777777</v>
      </c>
      <c r="U25" s="29">
        <f t="shared" si="16"/>
        <v>5.7105263157894735</v>
      </c>
      <c r="V25" s="29">
        <f t="shared" si="16"/>
        <v>5.4249999999999998</v>
      </c>
      <c r="W25" s="29">
        <f t="shared" si="16"/>
        <v>5.166666666666667</v>
      </c>
      <c r="X25" s="29">
        <f t="shared" si="16"/>
        <v>4.9318181818181817</v>
      </c>
      <c r="Y25" s="29">
        <f t="shared" si="16"/>
        <v>4.7173913043478262</v>
      </c>
    </row>
    <row r="26" spans="1:25" x14ac:dyDescent="0.25">
      <c r="A26" s="76"/>
      <c r="B26" s="8" t="str">
        <f xml:space="preserve"> CONCATENATE(Setup!$B$8, ", ", LEFT(Setup!$C$8,2))</f>
        <v>Spencer, SS</v>
      </c>
      <c r="C26" s="29">
        <f t="shared" ref="C26:E29" si="17" xml:space="preserve"> C20 / C$6</f>
        <v>2.66</v>
      </c>
      <c r="D26" s="29">
        <f t="shared" si="17"/>
        <v>5.83</v>
      </c>
      <c r="E26" s="29">
        <f t="shared" si="17"/>
        <v>5.6866666666666674</v>
      </c>
      <c r="F26" s="29">
        <f t="shared" ref="F26:Y26" si="18" xml:space="preserve"> F20 / F$6</f>
        <v>5.8275000000000006</v>
      </c>
      <c r="G26" s="29">
        <f t="shared" si="18"/>
        <v>5.2620000000000005</v>
      </c>
      <c r="H26" s="29">
        <f t="shared" si="18"/>
        <v>4.7183333333333337</v>
      </c>
      <c r="I26" s="29">
        <f t="shared" si="18"/>
        <v>5.7590000000000003</v>
      </c>
      <c r="J26" s="29">
        <f t="shared" si="18"/>
        <v>6.4141250000000003</v>
      </c>
      <c r="K26" s="29">
        <f t="shared" si="18"/>
        <v>6.5903333333333336</v>
      </c>
      <c r="L26" s="29">
        <f t="shared" si="18"/>
        <v>6.1313000000000004</v>
      </c>
      <c r="M26" s="50">
        <f t="shared" si="18"/>
        <v>6.1193636363636363</v>
      </c>
      <c r="N26" s="51">
        <f t="shared" si="18"/>
        <v>6.4427500000000002</v>
      </c>
      <c r="O26" s="29">
        <f t="shared" si="18"/>
        <v>6.4086923076923075</v>
      </c>
      <c r="P26" s="29">
        <f t="shared" si="18"/>
        <v>6.5223571428571434</v>
      </c>
      <c r="Q26" s="29">
        <f t="shared" si="18"/>
        <v>6.0875333333333339</v>
      </c>
      <c r="R26" s="29">
        <f t="shared" si="18"/>
        <v>5.8945625000000001</v>
      </c>
      <c r="S26" s="29">
        <f t="shared" si="18"/>
        <v>6.1948823529411765</v>
      </c>
      <c r="T26" s="29">
        <f t="shared" si="18"/>
        <v>5.8507222222222222</v>
      </c>
      <c r="U26" s="29">
        <f t="shared" si="18"/>
        <v>5.5427894736842109</v>
      </c>
      <c r="V26" s="29">
        <f t="shared" si="18"/>
        <v>5.2656499999999999</v>
      </c>
      <c r="W26" s="29">
        <f t="shared" si="18"/>
        <v>5.014904761904762</v>
      </c>
      <c r="X26" s="29">
        <f t="shared" si="18"/>
        <v>4.7869545454545452</v>
      </c>
      <c r="Y26" s="29">
        <f t="shared" si="18"/>
        <v>4.5788260869565223</v>
      </c>
    </row>
    <row r="27" spans="1:25" x14ac:dyDescent="0.25">
      <c r="A27" s="76"/>
      <c r="B27" s="8" t="str">
        <f xml:space="preserve"> CONCATENATE(Setup!$B$9, ", ", LEFT(Setup!$C$9,2))</f>
        <v>Dylan, DW</v>
      </c>
      <c r="C27" s="29">
        <f t="shared" si="17"/>
        <v>1.25</v>
      </c>
      <c r="D27" s="29">
        <f t="shared" si="17"/>
        <v>2.125</v>
      </c>
      <c r="E27" s="29">
        <f t="shared" si="17"/>
        <v>4.416666666666667</v>
      </c>
      <c r="F27" s="29">
        <f t="shared" ref="F27:Y27" si="19" xml:space="preserve"> F21 / F$6</f>
        <v>4.1875</v>
      </c>
      <c r="G27" s="29">
        <f t="shared" si="19"/>
        <v>3.65</v>
      </c>
      <c r="H27" s="29">
        <f t="shared" si="19"/>
        <v>3.8861666666666665</v>
      </c>
      <c r="I27" s="29">
        <f t="shared" si="19"/>
        <v>4.116714285714286</v>
      </c>
      <c r="J27" s="29">
        <f t="shared" si="19"/>
        <v>4.352125</v>
      </c>
      <c r="K27" s="29">
        <f t="shared" si="19"/>
        <v>4.4241111111111113</v>
      </c>
      <c r="L27" s="29">
        <f t="shared" si="19"/>
        <v>4.1817000000000002</v>
      </c>
      <c r="M27" s="50">
        <f t="shared" si="19"/>
        <v>3.847</v>
      </c>
      <c r="N27" s="51">
        <f t="shared" si="19"/>
        <v>4.526416666666667</v>
      </c>
      <c r="O27" s="29">
        <f t="shared" si="19"/>
        <v>4.562846153846154</v>
      </c>
      <c r="P27" s="29">
        <f t="shared" si="19"/>
        <v>4.5226428571428574</v>
      </c>
      <c r="Q27" s="29">
        <f t="shared" si="19"/>
        <v>4.8211333333333339</v>
      </c>
      <c r="R27" s="29">
        <f t="shared" si="19"/>
        <v>4.9573125000000005</v>
      </c>
      <c r="S27" s="29">
        <f t="shared" si="19"/>
        <v>4.9598235294117652</v>
      </c>
      <c r="T27" s="29">
        <f t="shared" si="19"/>
        <v>4.684277777777778</v>
      </c>
      <c r="U27" s="29">
        <f t="shared" si="19"/>
        <v>4.4377368421052639</v>
      </c>
      <c r="V27" s="29">
        <f t="shared" si="19"/>
        <v>4.2158500000000005</v>
      </c>
      <c r="W27" s="29">
        <f t="shared" si="19"/>
        <v>4.0150952380952383</v>
      </c>
      <c r="X27" s="29">
        <f t="shared" si="19"/>
        <v>3.8325909090909094</v>
      </c>
      <c r="Y27" s="29">
        <f t="shared" si="19"/>
        <v>3.6659565217391306</v>
      </c>
    </row>
    <row r="28" spans="1:25" x14ac:dyDescent="0.25">
      <c r="A28" s="76"/>
      <c r="B28" s="8" t="e">
        <f xml:space="preserve"> CONCATENATE(Setup!#REF!, ", ", LEFT(Setup!#REF!,2))</f>
        <v>#REF!</v>
      </c>
      <c r="C28" s="29">
        <f t="shared" si="17"/>
        <v>0</v>
      </c>
      <c r="D28" s="29">
        <f t="shared" si="17"/>
        <v>0</v>
      </c>
      <c r="E28" s="29">
        <f t="shared" si="17"/>
        <v>0</v>
      </c>
      <c r="F28" s="29">
        <f t="shared" ref="F28:Y28" si="20" xml:space="preserve"> F22 / F$6</f>
        <v>0</v>
      </c>
      <c r="G28" s="29">
        <f t="shared" si="20"/>
        <v>0</v>
      </c>
      <c r="H28" s="29">
        <f t="shared" si="20"/>
        <v>0</v>
      </c>
      <c r="I28" s="29">
        <f t="shared" si="20"/>
        <v>0</v>
      </c>
      <c r="J28" s="29">
        <f t="shared" si="20"/>
        <v>0</v>
      </c>
      <c r="K28" s="29">
        <f t="shared" si="20"/>
        <v>0</v>
      </c>
      <c r="L28" s="29">
        <f t="shared" si="20"/>
        <v>0</v>
      </c>
      <c r="M28" s="50">
        <f t="shared" si="20"/>
        <v>0</v>
      </c>
      <c r="N28" s="51">
        <f t="shared" si="20"/>
        <v>0</v>
      </c>
      <c r="O28" s="29">
        <f t="shared" si="20"/>
        <v>0</v>
      </c>
      <c r="P28" s="29">
        <f t="shared" si="20"/>
        <v>0</v>
      </c>
      <c r="Q28" s="29">
        <f t="shared" si="20"/>
        <v>0</v>
      </c>
      <c r="R28" s="29">
        <f t="shared" si="20"/>
        <v>0</v>
      </c>
      <c r="S28" s="29">
        <f t="shared" si="20"/>
        <v>0</v>
      </c>
      <c r="T28" s="29">
        <f t="shared" si="20"/>
        <v>0</v>
      </c>
      <c r="U28" s="29">
        <f t="shared" si="20"/>
        <v>0</v>
      </c>
      <c r="V28" s="29">
        <f t="shared" si="20"/>
        <v>0</v>
      </c>
      <c r="W28" s="29">
        <f t="shared" si="20"/>
        <v>0</v>
      </c>
      <c r="X28" s="29">
        <f t="shared" si="20"/>
        <v>0</v>
      </c>
      <c r="Y28" s="29">
        <f t="shared" si="20"/>
        <v>0</v>
      </c>
    </row>
    <row r="29" spans="1:25" ht="15.75" x14ac:dyDescent="0.25">
      <c r="A29" s="76"/>
      <c r="B29" s="9" t="s">
        <v>30</v>
      </c>
      <c r="C29" s="30">
        <f t="shared" si="17"/>
        <v>5.91</v>
      </c>
      <c r="D29" s="30">
        <f t="shared" si="17"/>
        <v>11.455</v>
      </c>
      <c r="E29" s="30">
        <f t="shared" si="17"/>
        <v>13.936666666666667</v>
      </c>
      <c r="F29" s="30">
        <f t="shared" ref="F29:Y29" si="21" xml:space="preserve"> F23 / F$6</f>
        <v>13.14</v>
      </c>
      <c r="G29" s="30">
        <f t="shared" si="21"/>
        <v>12.612</v>
      </c>
      <c r="H29" s="30">
        <f t="shared" si="21"/>
        <v>12.521166666666668</v>
      </c>
      <c r="I29" s="30">
        <f t="shared" si="21"/>
        <v>14.732857142857144</v>
      </c>
      <c r="J29" s="30">
        <f t="shared" si="21"/>
        <v>16.391249999999999</v>
      </c>
      <c r="K29" s="30">
        <f t="shared" si="21"/>
        <v>17.014444444444443</v>
      </c>
      <c r="L29" s="30">
        <f t="shared" si="21"/>
        <v>16.312999999999999</v>
      </c>
      <c r="M29" s="52">
        <f t="shared" si="21"/>
        <v>16.239090909090908</v>
      </c>
      <c r="N29" s="53">
        <f t="shared" si="21"/>
        <v>16.844166666666666</v>
      </c>
      <c r="O29" s="30">
        <f t="shared" si="21"/>
        <v>17.317692307692308</v>
      </c>
      <c r="P29" s="30">
        <f t="shared" si="21"/>
        <v>16.937857142857144</v>
      </c>
      <c r="Q29" s="30">
        <f t="shared" si="21"/>
        <v>17.742000000000001</v>
      </c>
      <c r="R29" s="30">
        <f t="shared" si="21"/>
        <v>17.633125</v>
      </c>
      <c r="S29" s="30">
        <f t="shared" si="21"/>
        <v>17.53705882352941</v>
      </c>
      <c r="T29" s="30">
        <f t="shared" si="21"/>
        <v>16.562777777777779</v>
      </c>
      <c r="U29" s="30">
        <f t="shared" si="21"/>
        <v>15.691052631578946</v>
      </c>
      <c r="V29" s="30">
        <f t="shared" si="21"/>
        <v>14.906499999999999</v>
      </c>
      <c r="W29" s="30">
        <f t="shared" si="21"/>
        <v>14.196666666666667</v>
      </c>
      <c r="X29" s="30">
        <f t="shared" si="21"/>
        <v>13.551363636363636</v>
      </c>
      <c r="Y29" s="30">
        <f t="shared" si="21"/>
        <v>12.962173913043477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W47"/>
  <sheetViews>
    <sheetView workbookViewId="0">
      <selection activeCell="C4" sqref="C4"/>
    </sheetView>
  </sheetViews>
  <sheetFormatPr defaultColWidth="8.85546875" defaultRowHeight="15" x14ac:dyDescent="0.25"/>
  <cols>
    <col min="2" max="2" width="15.7109375" customWidth="1"/>
  </cols>
  <sheetData>
    <row r="1" spans="1:23" ht="18.75" x14ac:dyDescent="0.3">
      <c r="C1" s="14" t="s">
        <v>29</v>
      </c>
    </row>
    <row r="2" spans="1:23" ht="18.75" x14ac:dyDescent="0.3">
      <c r="B2" s="23" t="str">
        <f>SheetName</f>
        <v>Sprint 0</v>
      </c>
      <c r="C2" s="27" t="s">
        <v>38</v>
      </c>
    </row>
    <row r="3" spans="1:23" x14ac:dyDescent="0.25">
      <c r="B3" s="31" t="s">
        <v>36</v>
      </c>
      <c r="C3" s="81" t="s">
        <v>32</v>
      </c>
      <c r="D3" s="82"/>
      <c r="E3" s="82"/>
      <c r="F3" s="82"/>
      <c r="G3" s="82"/>
      <c r="H3" s="82"/>
      <c r="I3" s="82"/>
      <c r="J3" s="82" t="s">
        <v>33</v>
      </c>
      <c r="K3" s="82"/>
      <c r="L3" s="82"/>
      <c r="M3" s="82"/>
      <c r="N3" s="82"/>
      <c r="O3" s="82"/>
      <c r="P3" s="82"/>
      <c r="Q3" s="82" t="s">
        <v>34</v>
      </c>
      <c r="R3" s="82"/>
      <c r="S3" s="82"/>
      <c r="T3" s="82"/>
      <c r="U3" s="82"/>
      <c r="V3" s="82"/>
      <c r="W3" s="83"/>
    </row>
    <row r="4" spans="1:23" x14ac:dyDescent="0.25">
      <c r="A4" s="6"/>
      <c r="B4" s="5" t="s">
        <v>6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5">
        <f t="shared" si="0"/>
        <v>42260</v>
      </c>
      <c r="J4" s="56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5">
        <f t="shared" si="0"/>
        <v>42267</v>
      </c>
      <c r="Q4" s="56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  <c r="Q5" s="58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4" t="s">
        <v>40</v>
      </c>
      <c r="B6" s="17" t="str">
        <f xml:space="preserve"> CONCATENATE(Setup!$B$7, ", ", LEFT(Setup!$C$7,2))</f>
        <v>Nathan, NR</v>
      </c>
      <c r="C6" s="34">
        <v>0</v>
      </c>
      <c r="D6" s="33">
        <v>0</v>
      </c>
      <c r="E6" s="33">
        <v>0</v>
      </c>
      <c r="F6" s="33">
        <v>2</v>
      </c>
      <c r="G6" s="33">
        <v>0</v>
      </c>
      <c r="H6" s="33">
        <v>0</v>
      </c>
      <c r="I6" s="59">
        <v>0</v>
      </c>
      <c r="J6" s="60">
        <v>0</v>
      </c>
      <c r="K6" s="33">
        <v>1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  <c r="Q6" s="66">
        <v>0</v>
      </c>
      <c r="R6" s="35">
        <v>1</v>
      </c>
      <c r="S6" s="35">
        <v>0</v>
      </c>
      <c r="T6" s="35">
        <v>0</v>
      </c>
      <c r="U6" s="35">
        <v>0</v>
      </c>
      <c r="V6" s="35">
        <v>0</v>
      </c>
      <c r="W6" s="37">
        <v>0</v>
      </c>
    </row>
    <row r="7" spans="1:23" ht="16.5" thickTop="1" thickBot="1" x14ac:dyDescent="0.3">
      <c r="A7" s="84"/>
      <c r="B7" s="17" t="str">
        <f xml:space="preserve"> CONCATENATE(Setup!$B$8, ", ", LEFT(Setup!$C$8,2))</f>
        <v>Spencer, SS</v>
      </c>
      <c r="C7" s="34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59">
        <v>0</v>
      </c>
      <c r="J7" s="60">
        <v>0</v>
      </c>
      <c r="K7" s="33">
        <v>0.5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  <c r="Q7" s="67">
        <v>0</v>
      </c>
      <c r="R7" s="32">
        <v>0.5</v>
      </c>
      <c r="S7" s="32">
        <v>0</v>
      </c>
      <c r="T7" s="32">
        <v>0</v>
      </c>
      <c r="U7" s="32">
        <v>0</v>
      </c>
      <c r="V7" s="32">
        <v>0</v>
      </c>
      <c r="W7" s="38">
        <v>0</v>
      </c>
    </row>
    <row r="8" spans="1:23" ht="16.5" thickTop="1" thickBot="1" x14ac:dyDescent="0.3">
      <c r="A8" s="84"/>
      <c r="B8" s="17" t="str">
        <f xml:space="preserve"> CONCATENATE(Setup!$B$9, ", ", LEFT(Setup!$C$9,2))</f>
        <v>Dylan, DW</v>
      </c>
      <c r="C8" s="34">
        <v>0</v>
      </c>
      <c r="D8" s="33">
        <v>0</v>
      </c>
      <c r="E8" s="33">
        <v>0</v>
      </c>
      <c r="F8" s="33">
        <v>1</v>
      </c>
      <c r="G8" s="33">
        <v>0</v>
      </c>
      <c r="H8" s="33">
        <v>0</v>
      </c>
      <c r="I8" s="59">
        <v>0</v>
      </c>
      <c r="J8" s="60">
        <v>0</v>
      </c>
      <c r="K8" s="33">
        <v>0.5</v>
      </c>
      <c r="L8" s="33">
        <v>1</v>
      </c>
      <c r="M8" s="33">
        <v>0.25</v>
      </c>
      <c r="N8" s="33">
        <v>0</v>
      </c>
      <c r="O8" s="33">
        <v>0</v>
      </c>
      <c r="P8" s="59">
        <v>0</v>
      </c>
      <c r="Q8" s="67">
        <v>3</v>
      </c>
      <c r="R8" s="32">
        <v>0</v>
      </c>
      <c r="S8" s="32">
        <v>1</v>
      </c>
      <c r="T8" s="32">
        <v>0.5</v>
      </c>
      <c r="U8" s="32">
        <v>0</v>
      </c>
      <c r="V8" s="32">
        <v>0.5</v>
      </c>
      <c r="W8" s="38">
        <v>0</v>
      </c>
    </row>
    <row r="9" spans="1:23" ht="16.5" thickTop="1" thickBot="1" x14ac:dyDescent="0.3">
      <c r="A9" s="84"/>
      <c r="B9" s="17" t="e">
        <f xml:space="preserve"> CONCATENATE(Setup!#REF!, ", ", LEFT(Setup!#REF!,2))</f>
        <v>#REF!</v>
      </c>
      <c r="C9" s="34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59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  <c r="Q9" s="68">
        <v>0</v>
      </c>
      <c r="R9" s="36">
        <v>0</v>
      </c>
      <c r="S9" s="36">
        <v>0</v>
      </c>
      <c r="T9" s="36">
        <v>0</v>
      </c>
      <c r="U9" s="36">
        <v>0</v>
      </c>
      <c r="V9" s="36">
        <v>0</v>
      </c>
      <c r="W9" s="39">
        <v>0</v>
      </c>
    </row>
    <row r="10" spans="1:23" ht="16.5" thickBot="1" x14ac:dyDescent="0.3">
      <c r="A10" s="84"/>
      <c r="B10" s="18" t="s">
        <v>30</v>
      </c>
      <c r="C10" s="21">
        <f xml:space="preserve"> SUM(C6:C9)</f>
        <v>0</v>
      </c>
      <c r="D10" s="21">
        <f t="shared" ref="D10:W10" si="1" xml:space="preserve"> SUM(D6:D9)</f>
        <v>0</v>
      </c>
      <c r="E10" s="21">
        <f t="shared" si="1"/>
        <v>0</v>
      </c>
      <c r="F10" s="21">
        <f t="shared" si="1"/>
        <v>3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2</v>
      </c>
      <c r="L10" s="21">
        <f t="shared" si="1"/>
        <v>1</v>
      </c>
      <c r="M10" s="21">
        <f t="shared" si="1"/>
        <v>0.25</v>
      </c>
      <c r="N10" s="21">
        <f t="shared" si="1"/>
        <v>0</v>
      </c>
      <c r="O10" s="21">
        <f t="shared" si="1"/>
        <v>0</v>
      </c>
      <c r="P10" s="61">
        <f t="shared" si="1"/>
        <v>0</v>
      </c>
      <c r="Q10" s="62">
        <f t="shared" si="1"/>
        <v>3</v>
      </c>
      <c r="R10" s="21">
        <f t="shared" si="1"/>
        <v>1.5</v>
      </c>
      <c r="S10" s="21">
        <f t="shared" si="1"/>
        <v>1</v>
      </c>
      <c r="T10" s="21">
        <f t="shared" si="1"/>
        <v>0.5</v>
      </c>
      <c r="U10" s="21">
        <f t="shared" si="1"/>
        <v>0</v>
      </c>
      <c r="V10" s="21">
        <f t="shared" si="1"/>
        <v>0.5</v>
      </c>
      <c r="W10" s="21">
        <f t="shared" si="1"/>
        <v>0</v>
      </c>
    </row>
    <row r="11" spans="1:23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  <c r="Q11" s="62"/>
      <c r="R11" s="21"/>
      <c r="S11" s="21"/>
      <c r="T11" s="21"/>
      <c r="U11" s="21"/>
      <c r="V11" s="21"/>
      <c r="W11" s="21"/>
    </row>
    <row r="12" spans="1:23" ht="15.75" thickBot="1" x14ac:dyDescent="0.3">
      <c r="A12" s="84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W12" si="2" xml:space="preserve"> C$12 + D$6</f>
        <v>0</v>
      </c>
      <c r="E12" s="22">
        <f t="shared" si="2"/>
        <v>0</v>
      </c>
      <c r="F12" s="22">
        <f t="shared" si="2"/>
        <v>2</v>
      </c>
      <c r="G12" s="22">
        <f t="shared" si="2"/>
        <v>2</v>
      </c>
      <c r="H12" s="22">
        <f t="shared" si="2"/>
        <v>2</v>
      </c>
      <c r="I12" s="63">
        <f t="shared" si="2"/>
        <v>2</v>
      </c>
      <c r="J12" s="64">
        <f t="shared" si="2"/>
        <v>2</v>
      </c>
      <c r="K12" s="22">
        <f t="shared" si="2"/>
        <v>3</v>
      </c>
      <c r="L12" s="22">
        <f t="shared" si="2"/>
        <v>3</v>
      </c>
      <c r="M12" s="22">
        <f t="shared" si="2"/>
        <v>3</v>
      </c>
      <c r="N12" s="22">
        <f t="shared" si="2"/>
        <v>3</v>
      </c>
      <c r="O12" s="22">
        <f t="shared" si="2"/>
        <v>3</v>
      </c>
      <c r="P12" s="63">
        <f t="shared" si="2"/>
        <v>3</v>
      </c>
      <c r="Q12" s="64">
        <f t="shared" si="2"/>
        <v>3</v>
      </c>
      <c r="R12" s="22">
        <f t="shared" si="2"/>
        <v>4</v>
      </c>
      <c r="S12" s="22">
        <f t="shared" si="2"/>
        <v>4</v>
      </c>
      <c r="T12" s="22">
        <f t="shared" si="2"/>
        <v>4</v>
      </c>
      <c r="U12" s="22">
        <f t="shared" si="2"/>
        <v>4</v>
      </c>
      <c r="V12" s="22">
        <f t="shared" si="2"/>
        <v>4</v>
      </c>
      <c r="W12" s="22">
        <f t="shared" si="2"/>
        <v>4</v>
      </c>
    </row>
    <row r="13" spans="1:23" ht="15.75" thickBot="1" x14ac:dyDescent="0.3">
      <c r="A13" s="84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W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0.5</v>
      </c>
      <c r="L13" s="22">
        <f t="shared" si="3"/>
        <v>0.5</v>
      </c>
      <c r="M13" s="22">
        <f t="shared" si="3"/>
        <v>0.5</v>
      </c>
      <c r="N13" s="22">
        <f t="shared" si="3"/>
        <v>0.5</v>
      </c>
      <c r="O13" s="22">
        <f t="shared" si="3"/>
        <v>0.5</v>
      </c>
      <c r="P13" s="63">
        <f t="shared" si="3"/>
        <v>0.5</v>
      </c>
      <c r="Q13" s="64">
        <f t="shared" si="3"/>
        <v>0.5</v>
      </c>
      <c r="R13" s="22">
        <f t="shared" si="3"/>
        <v>1</v>
      </c>
      <c r="S13" s="22">
        <f t="shared" si="3"/>
        <v>1</v>
      </c>
      <c r="T13" s="22">
        <f t="shared" si="3"/>
        <v>1</v>
      </c>
      <c r="U13" s="22">
        <f t="shared" si="3"/>
        <v>1</v>
      </c>
      <c r="V13" s="22">
        <f t="shared" si="3"/>
        <v>1</v>
      </c>
      <c r="W13" s="22">
        <f t="shared" si="3"/>
        <v>1</v>
      </c>
    </row>
    <row r="14" spans="1:23" ht="15.75" thickBot="1" x14ac:dyDescent="0.3">
      <c r="A14" s="84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W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1</v>
      </c>
      <c r="I14" s="63">
        <f t="shared" si="4"/>
        <v>1</v>
      </c>
      <c r="J14" s="64">
        <f t="shared" si="4"/>
        <v>1</v>
      </c>
      <c r="K14" s="22">
        <f t="shared" si="4"/>
        <v>1.5</v>
      </c>
      <c r="L14" s="22">
        <f t="shared" si="4"/>
        <v>2.5</v>
      </c>
      <c r="M14" s="22">
        <f t="shared" si="4"/>
        <v>2.75</v>
      </c>
      <c r="N14" s="22">
        <f t="shared" si="4"/>
        <v>2.75</v>
      </c>
      <c r="O14" s="22">
        <f t="shared" si="4"/>
        <v>2.75</v>
      </c>
      <c r="P14" s="63">
        <f t="shared" si="4"/>
        <v>2.75</v>
      </c>
      <c r="Q14" s="64">
        <f t="shared" si="4"/>
        <v>5.75</v>
      </c>
      <c r="R14" s="22">
        <f t="shared" si="4"/>
        <v>5.75</v>
      </c>
      <c r="S14" s="22">
        <f t="shared" si="4"/>
        <v>6.75</v>
      </c>
      <c r="T14" s="22">
        <f t="shared" si="4"/>
        <v>7.25</v>
      </c>
      <c r="U14" s="22">
        <f t="shared" si="4"/>
        <v>7.25</v>
      </c>
      <c r="V14" s="22">
        <f t="shared" si="4"/>
        <v>7.75</v>
      </c>
      <c r="W14" s="22">
        <f t="shared" si="4"/>
        <v>7.75</v>
      </c>
    </row>
    <row r="15" spans="1:23" ht="15.75" thickBot="1" x14ac:dyDescent="0.3">
      <c r="A15" s="84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W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  <c r="Q15" s="64">
        <f t="shared" si="5"/>
        <v>0</v>
      </c>
      <c r="R15" s="22">
        <f t="shared" si="5"/>
        <v>0</v>
      </c>
      <c r="S15" s="22">
        <f t="shared" si="5"/>
        <v>0</v>
      </c>
      <c r="T15" s="22">
        <f t="shared" si="5"/>
        <v>0</v>
      </c>
      <c r="U15" s="22">
        <f t="shared" si="5"/>
        <v>0</v>
      </c>
      <c r="V15" s="22">
        <f t="shared" si="5"/>
        <v>0</v>
      </c>
      <c r="W15" s="22">
        <f t="shared" si="5"/>
        <v>0</v>
      </c>
    </row>
    <row r="16" spans="1:23" ht="16.5" thickBot="1" x14ac:dyDescent="0.3">
      <c r="A16" s="84"/>
      <c r="B16" s="18" t="s">
        <v>30</v>
      </c>
      <c r="C16" s="21">
        <f xml:space="preserve"> SUM(C12:C15)</f>
        <v>0</v>
      </c>
      <c r="D16" s="21">
        <f t="shared" ref="D16:W16" si="6" xml:space="preserve"> SUM(D12:D15)</f>
        <v>0</v>
      </c>
      <c r="E16" s="21">
        <f t="shared" si="6"/>
        <v>0</v>
      </c>
      <c r="F16" s="21">
        <f t="shared" si="6"/>
        <v>3</v>
      </c>
      <c r="G16" s="21">
        <f t="shared" si="6"/>
        <v>3</v>
      </c>
      <c r="H16" s="21">
        <f t="shared" si="6"/>
        <v>3</v>
      </c>
      <c r="I16" s="61">
        <f t="shared" si="6"/>
        <v>3</v>
      </c>
      <c r="J16" s="62">
        <f t="shared" si="6"/>
        <v>3</v>
      </c>
      <c r="K16" s="21">
        <f t="shared" si="6"/>
        <v>5</v>
      </c>
      <c r="L16" s="21">
        <f t="shared" si="6"/>
        <v>6</v>
      </c>
      <c r="M16" s="21">
        <f t="shared" si="6"/>
        <v>6.25</v>
      </c>
      <c r="N16" s="21">
        <f t="shared" si="6"/>
        <v>6.25</v>
      </c>
      <c r="O16" s="21">
        <f t="shared" si="6"/>
        <v>6.25</v>
      </c>
      <c r="P16" s="61">
        <f t="shared" si="6"/>
        <v>6.25</v>
      </c>
      <c r="Q16" s="62">
        <f t="shared" si="6"/>
        <v>9.25</v>
      </c>
      <c r="R16" s="21">
        <f t="shared" si="6"/>
        <v>10.75</v>
      </c>
      <c r="S16" s="21">
        <f t="shared" si="6"/>
        <v>11.75</v>
      </c>
      <c r="T16" s="21">
        <f t="shared" si="6"/>
        <v>12.25</v>
      </c>
      <c r="U16" s="21">
        <f t="shared" si="6"/>
        <v>12.25</v>
      </c>
      <c r="V16" s="21">
        <f t="shared" si="6"/>
        <v>12.75</v>
      </c>
      <c r="W16" s="21">
        <f t="shared" si="6"/>
        <v>12.75</v>
      </c>
    </row>
    <row r="17" spans="1:23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  <c r="Q17" s="62"/>
      <c r="R17" s="21"/>
      <c r="S17" s="21"/>
      <c r="T17" s="21"/>
      <c r="U17" s="21"/>
      <c r="V17" s="21"/>
      <c r="W17" s="21"/>
    </row>
    <row r="18" spans="1:23" ht="15.75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59">
        <v>0</v>
      </c>
      <c r="J18" s="60">
        <v>0</v>
      </c>
      <c r="K18" s="33">
        <v>0</v>
      </c>
      <c r="L18" s="33">
        <v>0</v>
      </c>
      <c r="M18" s="33">
        <v>2</v>
      </c>
      <c r="N18" s="33">
        <v>2</v>
      </c>
      <c r="O18" s="33">
        <v>0</v>
      </c>
      <c r="P18" s="59">
        <v>0</v>
      </c>
      <c r="Q18" s="66">
        <v>0.5</v>
      </c>
      <c r="R18" s="35">
        <v>0</v>
      </c>
      <c r="S18" s="35">
        <v>0</v>
      </c>
      <c r="T18" s="35">
        <v>0</v>
      </c>
      <c r="U18" s="35">
        <v>0</v>
      </c>
      <c r="V18" s="35">
        <v>3</v>
      </c>
      <c r="W18" s="37">
        <v>0</v>
      </c>
    </row>
    <row r="19" spans="1:23" ht="16.5" thickTop="1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3">
        <v>0.33</v>
      </c>
      <c r="E19" s="33">
        <v>1</v>
      </c>
      <c r="F19" s="33">
        <v>1.33</v>
      </c>
      <c r="G19" s="33">
        <v>0</v>
      </c>
      <c r="H19" s="33">
        <v>0</v>
      </c>
      <c r="I19" s="59">
        <v>0</v>
      </c>
      <c r="J19" s="60">
        <v>0</v>
      </c>
      <c r="K19" s="33">
        <v>2.5</v>
      </c>
      <c r="L19" s="33">
        <v>2</v>
      </c>
      <c r="M19" s="33">
        <v>1.5</v>
      </c>
      <c r="N19" s="33">
        <v>0</v>
      </c>
      <c r="O19" s="33">
        <v>0</v>
      </c>
      <c r="P19" s="59">
        <v>2.5</v>
      </c>
      <c r="Q19" s="67">
        <v>1.9</v>
      </c>
      <c r="R19" s="32">
        <v>0.5</v>
      </c>
      <c r="S19" s="32">
        <v>1</v>
      </c>
      <c r="T19" s="32">
        <v>1.5</v>
      </c>
      <c r="U19" s="32">
        <v>0</v>
      </c>
      <c r="V19" s="32">
        <v>0</v>
      </c>
      <c r="W19" s="38">
        <v>0</v>
      </c>
    </row>
    <row r="20" spans="1:23" ht="16.5" thickTop="1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3">
        <v>0.25</v>
      </c>
      <c r="E20" s="33">
        <v>0</v>
      </c>
      <c r="F20" s="33">
        <v>0</v>
      </c>
      <c r="G20" s="33">
        <v>0</v>
      </c>
      <c r="H20" s="33">
        <v>0</v>
      </c>
      <c r="I20" s="59">
        <v>0</v>
      </c>
      <c r="J20" s="60">
        <v>0</v>
      </c>
      <c r="K20" s="33">
        <v>0</v>
      </c>
      <c r="L20" s="33">
        <v>1</v>
      </c>
      <c r="M20" s="33">
        <v>0.25</v>
      </c>
      <c r="N20" s="33">
        <v>0</v>
      </c>
      <c r="O20" s="33">
        <v>0</v>
      </c>
      <c r="P20" s="59">
        <v>0</v>
      </c>
      <c r="Q20" s="67">
        <v>1</v>
      </c>
      <c r="R20" s="32">
        <v>2</v>
      </c>
      <c r="S20" s="32">
        <v>0</v>
      </c>
      <c r="T20" s="32">
        <v>0.5</v>
      </c>
      <c r="U20" s="32">
        <v>0</v>
      </c>
      <c r="V20" s="32">
        <v>0.5</v>
      </c>
      <c r="W20" s="38">
        <v>0</v>
      </c>
    </row>
    <row r="21" spans="1:23" ht="16.5" thickTop="1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59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  <c r="Q21" s="68">
        <v>0</v>
      </c>
      <c r="R21" s="36">
        <v>0</v>
      </c>
      <c r="S21" s="36">
        <v>0</v>
      </c>
      <c r="T21" s="36">
        <v>0</v>
      </c>
      <c r="U21" s="36">
        <v>0</v>
      </c>
      <c r="V21" s="36">
        <v>0</v>
      </c>
      <c r="W21" s="39">
        <v>0</v>
      </c>
    </row>
    <row r="22" spans="1:23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W22" si="7" xml:space="preserve"> SUM(D18:D21)</f>
        <v>0.58000000000000007</v>
      </c>
      <c r="E22" s="21">
        <f t="shared" si="7"/>
        <v>1</v>
      </c>
      <c r="F22" s="21">
        <f t="shared" si="7"/>
        <v>1.33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2.5</v>
      </c>
      <c r="L22" s="21">
        <f t="shared" si="7"/>
        <v>3</v>
      </c>
      <c r="M22" s="21">
        <f t="shared" si="7"/>
        <v>3.75</v>
      </c>
      <c r="N22" s="21">
        <f t="shared" si="7"/>
        <v>2</v>
      </c>
      <c r="O22" s="21">
        <f t="shared" si="7"/>
        <v>0</v>
      </c>
      <c r="P22" s="61">
        <f t="shared" si="7"/>
        <v>2.5</v>
      </c>
      <c r="Q22" s="62">
        <f t="shared" si="7"/>
        <v>3.4</v>
      </c>
      <c r="R22" s="21">
        <f t="shared" si="7"/>
        <v>2.5</v>
      </c>
      <c r="S22" s="21">
        <f t="shared" si="7"/>
        <v>1</v>
      </c>
      <c r="T22" s="21">
        <f t="shared" si="7"/>
        <v>2</v>
      </c>
      <c r="U22" s="21">
        <f t="shared" si="7"/>
        <v>0</v>
      </c>
      <c r="V22" s="21">
        <f t="shared" si="7"/>
        <v>3.5</v>
      </c>
      <c r="W22" s="21">
        <f t="shared" si="7"/>
        <v>0</v>
      </c>
    </row>
    <row r="23" spans="1:23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  <c r="Q23" s="62"/>
      <c r="R23" s="21"/>
      <c r="S23" s="21"/>
      <c r="T23" s="21"/>
      <c r="U23" s="21"/>
      <c r="V23" s="21"/>
      <c r="W23" s="21"/>
    </row>
    <row r="24" spans="1:23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t="shared" ref="D24:I24" si="8" xml:space="preserve"> C$24 + D$18</f>
        <v>0</v>
      </c>
      <c r="E24" s="22">
        <f t="shared" si="8"/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2</v>
      </c>
      <c r="N24" s="22">
        <f t="shared" si="9"/>
        <v>4</v>
      </c>
      <c r="O24" s="22">
        <f t="shared" si="9"/>
        <v>4</v>
      </c>
      <c r="P24" s="63">
        <f t="shared" si="9"/>
        <v>4</v>
      </c>
      <c r="Q24" s="64">
        <f t="shared" si="9"/>
        <v>4.5</v>
      </c>
      <c r="R24" s="22">
        <f t="shared" si="9"/>
        <v>4.5</v>
      </c>
      <c r="S24" s="22">
        <f t="shared" si="9"/>
        <v>4.5</v>
      </c>
      <c r="T24" s="22">
        <f t="shared" si="9"/>
        <v>4.5</v>
      </c>
      <c r="U24" s="22">
        <f t="shared" si="9"/>
        <v>4.5</v>
      </c>
      <c r="V24" s="22">
        <f t="shared" si="9"/>
        <v>7.5</v>
      </c>
      <c r="W24" s="22">
        <f t="shared" si="9"/>
        <v>7.5</v>
      </c>
    </row>
    <row r="25" spans="1:23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t="shared" ref="D25:I25" si="10" xml:space="preserve"> C$25 + D$19</f>
        <v>0.33</v>
      </c>
      <c r="E25" s="22">
        <f t="shared" si="10"/>
        <v>1.33</v>
      </c>
      <c r="F25" s="22">
        <f t="shared" si="10"/>
        <v>2.66</v>
      </c>
      <c r="G25" s="22">
        <f t="shared" si="10"/>
        <v>2.66</v>
      </c>
      <c r="H25" s="22">
        <f t="shared" si="10"/>
        <v>2.66</v>
      </c>
      <c r="I25" s="63">
        <f t="shared" si="10"/>
        <v>2.66</v>
      </c>
      <c r="J25" s="64">
        <f t="shared" ref="J25:W25" si="11" xml:space="preserve"> I$25 + J$19</f>
        <v>2.66</v>
      </c>
      <c r="K25" s="22">
        <f t="shared" si="11"/>
        <v>5.16</v>
      </c>
      <c r="L25" s="22">
        <f t="shared" si="11"/>
        <v>7.16</v>
      </c>
      <c r="M25" s="22">
        <f t="shared" si="11"/>
        <v>8.66</v>
      </c>
      <c r="N25" s="22">
        <f t="shared" si="11"/>
        <v>8.66</v>
      </c>
      <c r="O25" s="22">
        <f t="shared" si="11"/>
        <v>8.66</v>
      </c>
      <c r="P25" s="63">
        <f t="shared" si="11"/>
        <v>11.16</v>
      </c>
      <c r="Q25" s="64">
        <f t="shared" si="11"/>
        <v>13.06</v>
      </c>
      <c r="R25" s="22">
        <f t="shared" si="11"/>
        <v>13.56</v>
      </c>
      <c r="S25" s="22">
        <f t="shared" si="11"/>
        <v>14.56</v>
      </c>
      <c r="T25" s="22">
        <f t="shared" si="11"/>
        <v>16.060000000000002</v>
      </c>
      <c r="U25" s="22">
        <f t="shared" si="11"/>
        <v>16.060000000000002</v>
      </c>
      <c r="V25" s="22">
        <f t="shared" si="11"/>
        <v>16.060000000000002</v>
      </c>
      <c r="W25" s="22">
        <f t="shared" si="11"/>
        <v>16.060000000000002</v>
      </c>
    </row>
    <row r="26" spans="1:23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t="shared" ref="D26:I26" si="12" xml:space="preserve"> C$26 + D$20</f>
        <v>0.25</v>
      </c>
      <c r="E26" s="22">
        <f t="shared" si="12"/>
        <v>0.25</v>
      </c>
      <c r="F26" s="22">
        <f t="shared" si="12"/>
        <v>0.25</v>
      </c>
      <c r="G26" s="22">
        <f t="shared" si="12"/>
        <v>0.25</v>
      </c>
      <c r="H26" s="22">
        <f t="shared" si="12"/>
        <v>0.25</v>
      </c>
      <c r="I26" s="63">
        <f t="shared" si="12"/>
        <v>0.25</v>
      </c>
      <c r="J26" s="64">
        <f t="shared" ref="J26:W26" si="13" xml:space="preserve"> I$26 + J$20</f>
        <v>0.25</v>
      </c>
      <c r="K26" s="22">
        <f t="shared" si="13"/>
        <v>0.25</v>
      </c>
      <c r="L26" s="22">
        <f t="shared" si="13"/>
        <v>1.25</v>
      </c>
      <c r="M26" s="22">
        <f t="shared" si="13"/>
        <v>1.5</v>
      </c>
      <c r="N26" s="22">
        <f t="shared" si="13"/>
        <v>1.5</v>
      </c>
      <c r="O26" s="22">
        <f t="shared" si="13"/>
        <v>1.5</v>
      </c>
      <c r="P26" s="63">
        <f t="shared" si="13"/>
        <v>1.5</v>
      </c>
      <c r="Q26" s="64">
        <f t="shared" si="13"/>
        <v>2.5</v>
      </c>
      <c r="R26" s="22">
        <f t="shared" si="13"/>
        <v>4.5</v>
      </c>
      <c r="S26" s="22">
        <f t="shared" si="13"/>
        <v>4.5</v>
      </c>
      <c r="T26" s="22">
        <f t="shared" si="13"/>
        <v>5</v>
      </c>
      <c r="U26" s="22">
        <f t="shared" si="13"/>
        <v>5</v>
      </c>
      <c r="V26" s="22">
        <f t="shared" si="13"/>
        <v>5.5</v>
      </c>
      <c r="W26" s="22">
        <f t="shared" si="13"/>
        <v>5.5</v>
      </c>
    </row>
    <row r="27" spans="1:23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t="shared" ref="D27:I27" si="14" xml:space="preserve"> C$27 + D$21</f>
        <v>0</v>
      </c>
      <c r="E27" s="22">
        <f t="shared" si="14"/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3">
        <f t="shared" si="14"/>
        <v>0</v>
      </c>
      <c r="J27" s="64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3">
        <f t="shared" si="15"/>
        <v>0</v>
      </c>
      <c r="Q27" s="64">
        <f t="shared" si="15"/>
        <v>0</v>
      </c>
      <c r="R27" s="22">
        <f t="shared" si="15"/>
        <v>0</v>
      </c>
      <c r="S27" s="22">
        <f t="shared" si="15"/>
        <v>0</v>
      </c>
      <c r="T27" s="22">
        <f t="shared" si="15"/>
        <v>0</v>
      </c>
      <c r="U27" s="22">
        <f t="shared" si="15"/>
        <v>0</v>
      </c>
      <c r="V27" s="22">
        <f t="shared" si="15"/>
        <v>0</v>
      </c>
      <c r="W27" s="22">
        <f t="shared" si="15"/>
        <v>0</v>
      </c>
    </row>
    <row r="28" spans="1:23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W28" si="16" xml:space="preserve"> SUM(D24:D27)</f>
        <v>0.58000000000000007</v>
      </c>
      <c r="E28" s="21">
        <f t="shared" si="16"/>
        <v>1.58</v>
      </c>
      <c r="F28" s="21">
        <f t="shared" si="16"/>
        <v>2.91</v>
      </c>
      <c r="G28" s="21">
        <f t="shared" si="16"/>
        <v>2.91</v>
      </c>
      <c r="H28" s="21">
        <f t="shared" si="16"/>
        <v>2.91</v>
      </c>
      <c r="I28" s="61">
        <f t="shared" si="16"/>
        <v>2.91</v>
      </c>
      <c r="J28" s="62">
        <f t="shared" si="16"/>
        <v>2.91</v>
      </c>
      <c r="K28" s="21">
        <f t="shared" si="16"/>
        <v>5.41</v>
      </c>
      <c r="L28" s="21">
        <f t="shared" si="16"/>
        <v>8.41</v>
      </c>
      <c r="M28" s="21">
        <f t="shared" si="16"/>
        <v>12.16</v>
      </c>
      <c r="N28" s="21">
        <f t="shared" si="16"/>
        <v>14.16</v>
      </c>
      <c r="O28" s="21">
        <f t="shared" si="16"/>
        <v>14.16</v>
      </c>
      <c r="P28" s="61">
        <f t="shared" si="16"/>
        <v>16.66</v>
      </c>
      <c r="Q28" s="62">
        <f t="shared" si="16"/>
        <v>20.060000000000002</v>
      </c>
      <c r="R28" s="21">
        <f t="shared" si="16"/>
        <v>22.560000000000002</v>
      </c>
      <c r="S28" s="21">
        <f t="shared" si="16"/>
        <v>23.560000000000002</v>
      </c>
      <c r="T28" s="21">
        <f t="shared" si="16"/>
        <v>25.560000000000002</v>
      </c>
      <c r="U28" s="21">
        <f t="shared" si="16"/>
        <v>25.560000000000002</v>
      </c>
      <c r="V28" s="21">
        <f t="shared" si="16"/>
        <v>29.060000000000002</v>
      </c>
      <c r="W28" s="21">
        <f t="shared" si="16"/>
        <v>29.060000000000002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  <c r="Q29" s="62"/>
      <c r="R29" s="21"/>
      <c r="S29" s="21"/>
      <c r="T29" s="21"/>
      <c r="U29" s="21"/>
      <c r="V29" s="21"/>
      <c r="W29" s="21"/>
    </row>
    <row r="30" spans="1:23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W30" si="17" xml:space="preserve"> (E$12 + E$24) / E$5</f>
        <v>0</v>
      </c>
      <c r="F30" s="22">
        <f t="shared" si="17"/>
        <v>0.5</v>
      </c>
      <c r="G30" s="22">
        <f t="shared" si="17"/>
        <v>0.4</v>
      </c>
      <c r="H30" s="22">
        <f t="shared" si="17"/>
        <v>0.33333333333333331</v>
      </c>
      <c r="I30" s="63">
        <f t="shared" si="17"/>
        <v>0.2857142857142857</v>
      </c>
      <c r="J30" s="64">
        <f t="shared" si="17"/>
        <v>0.25</v>
      </c>
      <c r="K30" s="22">
        <f t="shared" si="17"/>
        <v>0.33333333333333331</v>
      </c>
      <c r="L30" s="22">
        <f t="shared" si="17"/>
        <v>0.3</v>
      </c>
      <c r="M30" s="22">
        <f t="shared" si="17"/>
        <v>0.45454545454545453</v>
      </c>
      <c r="N30" s="22">
        <f t="shared" si="17"/>
        <v>0.58333333333333337</v>
      </c>
      <c r="O30" s="22">
        <f t="shared" si="17"/>
        <v>0.53846153846153844</v>
      </c>
      <c r="P30" s="63">
        <f t="shared" si="17"/>
        <v>0.5</v>
      </c>
      <c r="Q30" s="64">
        <f t="shared" si="17"/>
        <v>0.5</v>
      </c>
      <c r="R30" s="22">
        <f t="shared" si="17"/>
        <v>0.53125</v>
      </c>
      <c r="S30" s="22">
        <f t="shared" si="17"/>
        <v>0.5</v>
      </c>
      <c r="T30" s="22">
        <f t="shared" si="17"/>
        <v>0.47222222222222221</v>
      </c>
      <c r="U30" s="22">
        <f t="shared" si="17"/>
        <v>0.44736842105263158</v>
      </c>
      <c r="V30" s="22">
        <f t="shared" si="17"/>
        <v>0.57499999999999996</v>
      </c>
      <c r="W30" s="22">
        <f t="shared" si="17"/>
        <v>0.54761904761904767</v>
      </c>
    </row>
    <row r="31" spans="1:23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0.16500000000000001</v>
      </c>
      <c r="E31" s="22">
        <f t="shared" ref="E31:W31" si="18" xml:space="preserve"> (E$13 + E$25) / E$5</f>
        <v>0.44333333333333336</v>
      </c>
      <c r="F31" s="22">
        <f t="shared" si="18"/>
        <v>0.66500000000000004</v>
      </c>
      <c r="G31" s="22">
        <f t="shared" si="18"/>
        <v>0.53200000000000003</v>
      </c>
      <c r="H31" s="22">
        <f t="shared" si="18"/>
        <v>0.44333333333333336</v>
      </c>
      <c r="I31" s="63">
        <f t="shared" si="18"/>
        <v>0.38</v>
      </c>
      <c r="J31" s="64">
        <f t="shared" si="18"/>
        <v>0.33250000000000002</v>
      </c>
      <c r="K31" s="22">
        <f t="shared" si="18"/>
        <v>0.62888888888888894</v>
      </c>
      <c r="L31" s="22">
        <f t="shared" si="18"/>
        <v>0.76600000000000001</v>
      </c>
      <c r="M31" s="22">
        <f t="shared" si="18"/>
        <v>0.83272727272727276</v>
      </c>
      <c r="N31" s="22">
        <f t="shared" si="18"/>
        <v>0.76333333333333331</v>
      </c>
      <c r="O31" s="22">
        <f t="shared" si="18"/>
        <v>0.70461538461538464</v>
      </c>
      <c r="P31" s="63">
        <f t="shared" si="18"/>
        <v>0.83285714285714285</v>
      </c>
      <c r="Q31" s="64">
        <f t="shared" si="18"/>
        <v>0.90400000000000003</v>
      </c>
      <c r="R31" s="22">
        <f t="shared" si="18"/>
        <v>0.91</v>
      </c>
      <c r="S31" s="22">
        <f t="shared" si="18"/>
        <v>0.91529411764705881</v>
      </c>
      <c r="T31" s="22">
        <f t="shared" si="18"/>
        <v>0.94777777777777794</v>
      </c>
      <c r="U31" s="22">
        <f t="shared" si="18"/>
        <v>0.89789473684210541</v>
      </c>
      <c r="V31" s="22">
        <f t="shared" si="18"/>
        <v>0.85300000000000009</v>
      </c>
      <c r="W31" s="22">
        <f t="shared" si="18"/>
        <v>0.81238095238095254</v>
      </c>
    </row>
    <row r="32" spans="1:23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0.125</v>
      </c>
      <c r="E32" s="22">
        <f t="shared" ref="E32:W32" si="19" xml:space="preserve"> (E$14 + E$26) / E$5</f>
        <v>8.3333333333333329E-2</v>
      </c>
      <c r="F32" s="22">
        <f t="shared" si="19"/>
        <v>0.3125</v>
      </c>
      <c r="G32" s="22">
        <f t="shared" si="19"/>
        <v>0.25</v>
      </c>
      <c r="H32" s="22">
        <f t="shared" si="19"/>
        <v>0.20833333333333334</v>
      </c>
      <c r="I32" s="63">
        <f t="shared" si="19"/>
        <v>0.17857142857142858</v>
      </c>
      <c r="J32" s="64">
        <f t="shared" si="19"/>
        <v>0.15625</v>
      </c>
      <c r="K32" s="22">
        <f t="shared" si="19"/>
        <v>0.19444444444444445</v>
      </c>
      <c r="L32" s="22">
        <f t="shared" si="19"/>
        <v>0.375</v>
      </c>
      <c r="M32" s="22">
        <f t="shared" si="19"/>
        <v>0.38636363636363635</v>
      </c>
      <c r="N32" s="22">
        <f t="shared" si="19"/>
        <v>0.35416666666666669</v>
      </c>
      <c r="O32" s="22">
        <f t="shared" si="19"/>
        <v>0.32692307692307693</v>
      </c>
      <c r="P32" s="63">
        <f t="shared" si="19"/>
        <v>0.30357142857142855</v>
      </c>
      <c r="Q32" s="64">
        <f t="shared" si="19"/>
        <v>0.55000000000000004</v>
      </c>
      <c r="R32" s="22">
        <f t="shared" si="19"/>
        <v>0.640625</v>
      </c>
      <c r="S32" s="22">
        <f t="shared" si="19"/>
        <v>0.66176470588235292</v>
      </c>
      <c r="T32" s="22">
        <f t="shared" si="19"/>
        <v>0.68055555555555558</v>
      </c>
      <c r="U32" s="22">
        <f t="shared" si="19"/>
        <v>0.64473684210526316</v>
      </c>
      <c r="V32" s="22">
        <f t="shared" si="19"/>
        <v>0.66249999999999998</v>
      </c>
      <c r="W32" s="22">
        <f t="shared" si="19"/>
        <v>0.63095238095238093</v>
      </c>
    </row>
    <row r="33" spans="1:23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W33" si="20" xml:space="preserve"> (E$15 + E$27) / E$5</f>
        <v>0</v>
      </c>
      <c r="F33" s="22">
        <f t="shared" si="20"/>
        <v>0</v>
      </c>
      <c r="G33" s="22">
        <f t="shared" si="20"/>
        <v>0</v>
      </c>
      <c r="H33" s="22">
        <f t="shared" si="20"/>
        <v>0</v>
      </c>
      <c r="I33" s="63">
        <f t="shared" si="20"/>
        <v>0</v>
      </c>
      <c r="J33" s="64">
        <f t="shared" si="20"/>
        <v>0</v>
      </c>
      <c r="K33" s="22">
        <f t="shared" si="20"/>
        <v>0</v>
      </c>
      <c r="L33" s="22">
        <f t="shared" si="20"/>
        <v>0</v>
      </c>
      <c r="M33" s="22">
        <f t="shared" si="20"/>
        <v>0</v>
      </c>
      <c r="N33" s="22">
        <f t="shared" si="20"/>
        <v>0</v>
      </c>
      <c r="O33" s="22">
        <f t="shared" si="20"/>
        <v>0</v>
      </c>
      <c r="P33" s="63">
        <f t="shared" si="20"/>
        <v>0</v>
      </c>
      <c r="Q33" s="64">
        <f t="shared" si="20"/>
        <v>0</v>
      </c>
      <c r="R33" s="22">
        <f t="shared" si="20"/>
        <v>0</v>
      </c>
      <c r="S33" s="22">
        <f t="shared" si="20"/>
        <v>0</v>
      </c>
      <c r="T33" s="22">
        <f t="shared" si="20"/>
        <v>0</v>
      </c>
      <c r="U33" s="22">
        <f t="shared" si="20"/>
        <v>0</v>
      </c>
      <c r="V33" s="22">
        <f t="shared" si="20"/>
        <v>0</v>
      </c>
      <c r="W33" s="22">
        <f t="shared" si="20"/>
        <v>0</v>
      </c>
    </row>
    <row r="34" spans="1:23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W34" si="21" xml:space="preserve"> SUM(D30:D33)</f>
        <v>0.29000000000000004</v>
      </c>
      <c r="E34" s="21">
        <f t="shared" si="21"/>
        <v>0.52666666666666673</v>
      </c>
      <c r="F34" s="21">
        <f t="shared" si="21"/>
        <v>1.4775</v>
      </c>
      <c r="G34" s="21">
        <f t="shared" si="21"/>
        <v>1.1819999999999999</v>
      </c>
      <c r="H34" s="21">
        <f t="shared" si="21"/>
        <v>0.98499999999999999</v>
      </c>
      <c r="I34" s="61">
        <f t="shared" si="21"/>
        <v>0.84428571428571431</v>
      </c>
      <c r="J34" s="62">
        <f t="shared" si="21"/>
        <v>0.73875000000000002</v>
      </c>
      <c r="K34" s="21">
        <f t="shared" si="21"/>
        <v>1.1566666666666667</v>
      </c>
      <c r="L34" s="21">
        <f t="shared" si="21"/>
        <v>1.4410000000000001</v>
      </c>
      <c r="M34" s="21">
        <f t="shared" si="21"/>
        <v>1.6736363636363638</v>
      </c>
      <c r="N34" s="21">
        <f t="shared" si="21"/>
        <v>1.7008333333333334</v>
      </c>
      <c r="O34" s="21">
        <f t="shared" si="21"/>
        <v>1.57</v>
      </c>
      <c r="P34" s="61">
        <f t="shared" si="21"/>
        <v>1.6364285714285713</v>
      </c>
      <c r="Q34" s="62">
        <f t="shared" si="21"/>
        <v>1.954</v>
      </c>
      <c r="R34" s="21">
        <f t="shared" si="21"/>
        <v>2.0818750000000001</v>
      </c>
      <c r="S34" s="21">
        <f t="shared" si="21"/>
        <v>2.0770588235294118</v>
      </c>
      <c r="T34" s="21">
        <f t="shared" si="21"/>
        <v>2.1005555555555557</v>
      </c>
      <c r="U34" s="21">
        <f t="shared" si="21"/>
        <v>1.9900000000000002</v>
      </c>
      <c r="V34" s="21">
        <f t="shared" si="21"/>
        <v>2.0905</v>
      </c>
      <c r="W34" s="21">
        <f t="shared" si="21"/>
        <v>1.9909523809523813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31</v>
      </c>
      <c r="C36" s="24">
        <v>1</v>
      </c>
      <c r="D36" s="24">
        <v>2</v>
      </c>
      <c r="E36" s="24">
        <v>3</v>
      </c>
      <c r="F36" s="24" t="s">
        <v>35</v>
      </c>
    </row>
    <row r="37" spans="1:23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2</v>
      </c>
      <c r="D37" s="25">
        <f xml:space="preserve"> SUM(J6:P6) + SUM(J18:P18)</f>
        <v>5</v>
      </c>
      <c r="E37" s="25">
        <f xml:space="preserve"> SUM(Q6:W6) + SUM(Q18:W18)</f>
        <v>4.5</v>
      </c>
      <c r="F37" s="25">
        <f xml:space="preserve"> SUM(C37:E37)</f>
        <v>11.5</v>
      </c>
    </row>
    <row r="38" spans="1:23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2.66</v>
      </c>
      <c r="D38" s="25">
        <f xml:space="preserve"> SUM(J7:P7) + SUM(J19:P19)</f>
        <v>9</v>
      </c>
      <c r="E38" s="25">
        <f xml:space="preserve"> SUM(Q7:W7) + SUM(Q19:W19)</f>
        <v>5.4</v>
      </c>
      <c r="F38" s="25">
        <f xml:space="preserve"> SUM(C38:E38)</f>
        <v>17.060000000000002</v>
      </c>
    </row>
    <row r="39" spans="1:23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1.25</v>
      </c>
      <c r="D39" s="25">
        <f xml:space="preserve"> SUM(J8:P8) + SUM(J20:P20)</f>
        <v>3</v>
      </c>
      <c r="E39" s="25">
        <f xml:space="preserve"> SUM(Q8:W8) + SUM(Q20:W20)</f>
        <v>9</v>
      </c>
      <c r="F39" s="25">
        <f xml:space="preserve"> SUM(C39:E39)</f>
        <v>13.25</v>
      </c>
    </row>
    <row r="40" spans="1:23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SUM(Q9:W9) + SUM(Q21:W21)</f>
        <v>0</v>
      </c>
      <c r="F40" s="25">
        <f xml:space="preserve"> SUM(C40:E40)</f>
        <v>0</v>
      </c>
    </row>
    <row r="41" spans="1:23" ht="16.5" thickBot="1" x14ac:dyDescent="0.3">
      <c r="A41" s="80"/>
      <c r="B41" s="18" t="s">
        <v>30</v>
      </c>
      <c r="C41" s="21">
        <f xml:space="preserve"> SUM(C37:C40)</f>
        <v>5.91</v>
      </c>
      <c r="D41" s="21">
        <f xml:space="preserve"> SUM(D37:D40)</f>
        <v>17</v>
      </c>
      <c r="E41" s="21">
        <f xml:space="preserve"> SUM(E37:E40)</f>
        <v>18.899999999999999</v>
      </c>
      <c r="F41" s="21">
        <f xml:space="preserve"> SUM(C41:E41)</f>
        <v>41.81</v>
      </c>
    </row>
    <row r="42" spans="1:23" ht="15.75" thickBot="1" x14ac:dyDescent="0.3">
      <c r="A42" s="19"/>
    </row>
    <row r="43" spans="1:23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C36</f>
        <v>2</v>
      </c>
      <c r="D43" s="25">
        <f xml:space="preserve"> SUM(C37:D37) / D$36</f>
        <v>3.5</v>
      </c>
      <c r="E43" s="25">
        <f xml:space="preserve"> SUM(C37:E37) / E$36</f>
        <v>3.8333333333333335</v>
      </c>
    </row>
    <row r="44" spans="1:23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C36</f>
        <v>2.66</v>
      </c>
      <c r="D44" s="25">
        <f xml:space="preserve"> SUM(C38:D38) / D$36</f>
        <v>5.83</v>
      </c>
      <c r="E44" s="25">
        <f xml:space="preserve"> SUM(C38:E38) / E$36</f>
        <v>5.6866666666666674</v>
      </c>
    </row>
    <row r="45" spans="1:23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C36</f>
        <v>1.25</v>
      </c>
      <c r="D45" s="25">
        <f xml:space="preserve"> SUM(C39:D39) / D$36</f>
        <v>2.125</v>
      </c>
      <c r="E45" s="25">
        <f xml:space="preserve"> SUM(C39:E39) / E$36</f>
        <v>4.416666666666667</v>
      </c>
    </row>
    <row r="46" spans="1:23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C36</f>
        <v>0</v>
      </c>
      <c r="D46" s="25">
        <f xml:space="preserve"> SUM(C40:D40) / D$36</f>
        <v>0</v>
      </c>
      <c r="E46" s="25">
        <f xml:space="preserve"> SUM(C40:E40) / E$36</f>
        <v>0</v>
      </c>
    </row>
    <row r="47" spans="1:23" ht="16.5" thickBot="1" x14ac:dyDescent="0.3">
      <c r="A47" s="80"/>
      <c r="B47" s="18" t="s">
        <v>30</v>
      </c>
      <c r="C47" s="21">
        <f xml:space="preserve"> SUM(C43:C46)</f>
        <v>5.91</v>
      </c>
      <c r="D47" s="21">
        <f xml:space="preserve"> SUM(D43:D46)</f>
        <v>11.455</v>
      </c>
      <c r="E47" s="21">
        <f xml:space="preserve"> SUM(E43:E46)</f>
        <v>13.936666666666667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workbookViewId="0">
      <selection activeCell="C6" sqref="C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5">
        <f t="shared" si="0"/>
        <v>42281</v>
      </c>
      <c r="J4" s="56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5">
        <f t="shared" si="0"/>
        <v>42288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0.5</v>
      </c>
      <c r="E6" s="34">
        <v>0</v>
      </c>
      <c r="F6" s="34">
        <v>0.5</v>
      </c>
      <c r="G6" s="34">
        <v>0</v>
      </c>
      <c r="H6" s="34">
        <v>0</v>
      </c>
      <c r="I6" s="34">
        <v>0</v>
      </c>
      <c r="J6" s="60">
        <v>4.5</v>
      </c>
      <c r="K6" s="33">
        <v>0.5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0.5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1.5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0.5</v>
      </c>
      <c r="E8" s="34">
        <v>0</v>
      </c>
      <c r="F8" s="34">
        <v>0</v>
      </c>
      <c r="G8" s="34">
        <v>0</v>
      </c>
      <c r="H8" s="34">
        <v>0</v>
      </c>
      <c r="I8" s="34">
        <v>2.5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1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1.5</v>
      </c>
      <c r="E10" s="21">
        <f t="shared" si="1"/>
        <v>0</v>
      </c>
      <c r="F10" s="21">
        <f t="shared" si="1"/>
        <v>0.5</v>
      </c>
      <c r="G10" s="21">
        <f t="shared" si="1"/>
        <v>0</v>
      </c>
      <c r="H10" s="21">
        <f t="shared" si="1"/>
        <v>0</v>
      </c>
      <c r="I10" s="61">
        <f t="shared" si="1"/>
        <v>2.5</v>
      </c>
      <c r="J10" s="62">
        <f t="shared" si="1"/>
        <v>4.5</v>
      </c>
      <c r="K10" s="21">
        <f t="shared" si="1"/>
        <v>2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0.5</v>
      </c>
      <c r="E12" s="22">
        <f t="shared" si="2"/>
        <v>0.5</v>
      </c>
      <c r="F12" s="22">
        <f t="shared" si="2"/>
        <v>1</v>
      </c>
      <c r="G12" s="22">
        <f t="shared" si="2"/>
        <v>1</v>
      </c>
      <c r="H12" s="22">
        <f t="shared" si="2"/>
        <v>1</v>
      </c>
      <c r="I12" s="63">
        <f t="shared" si="2"/>
        <v>1</v>
      </c>
      <c r="J12" s="64">
        <f t="shared" si="2"/>
        <v>5.5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0.5</v>
      </c>
      <c r="E13" s="22">
        <f t="shared" si="3"/>
        <v>0.5</v>
      </c>
      <c r="F13" s="22">
        <f t="shared" si="3"/>
        <v>0.5</v>
      </c>
      <c r="G13" s="22">
        <f t="shared" si="3"/>
        <v>0.5</v>
      </c>
      <c r="H13" s="22">
        <f t="shared" si="3"/>
        <v>0.5</v>
      </c>
      <c r="I13" s="63">
        <f t="shared" si="3"/>
        <v>0.5</v>
      </c>
      <c r="J13" s="64">
        <f t="shared" si="3"/>
        <v>0.5</v>
      </c>
      <c r="K13" s="22">
        <f t="shared" si="3"/>
        <v>2</v>
      </c>
      <c r="L13" s="22">
        <f t="shared" si="3"/>
        <v>2</v>
      </c>
      <c r="M13" s="22">
        <f t="shared" si="3"/>
        <v>2</v>
      </c>
      <c r="N13" s="22">
        <f t="shared" si="3"/>
        <v>2</v>
      </c>
      <c r="O13" s="22">
        <f t="shared" si="3"/>
        <v>2</v>
      </c>
      <c r="P13" s="63">
        <f t="shared" si="3"/>
        <v>2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0.5</v>
      </c>
      <c r="E14" s="22">
        <f t="shared" si="4"/>
        <v>0.5</v>
      </c>
      <c r="F14" s="22">
        <f t="shared" si="4"/>
        <v>0.5</v>
      </c>
      <c r="G14" s="22">
        <f t="shared" si="4"/>
        <v>0.5</v>
      </c>
      <c r="H14" s="22">
        <f t="shared" si="4"/>
        <v>0.5</v>
      </c>
      <c r="I14" s="63">
        <f t="shared" si="4"/>
        <v>3</v>
      </c>
      <c r="J14" s="64">
        <f t="shared" si="4"/>
        <v>3</v>
      </c>
      <c r="K14" s="22">
        <f t="shared" si="4"/>
        <v>3</v>
      </c>
      <c r="L14" s="22">
        <f t="shared" si="4"/>
        <v>3</v>
      </c>
      <c r="M14" s="22">
        <f t="shared" si="4"/>
        <v>3</v>
      </c>
      <c r="N14" s="22">
        <f t="shared" si="4"/>
        <v>3</v>
      </c>
      <c r="O14" s="22">
        <f t="shared" si="4"/>
        <v>3</v>
      </c>
      <c r="P14" s="63">
        <f t="shared" si="4"/>
        <v>4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1.5</v>
      </c>
      <c r="E16" s="21">
        <f t="shared" si="6"/>
        <v>1.5</v>
      </c>
      <c r="F16" s="21">
        <f t="shared" si="6"/>
        <v>2</v>
      </c>
      <c r="G16" s="21">
        <f t="shared" si="6"/>
        <v>2</v>
      </c>
      <c r="H16" s="21">
        <f t="shared" si="6"/>
        <v>2</v>
      </c>
      <c r="I16" s="61">
        <f t="shared" si="6"/>
        <v>4.5</v>
      </c>
      <c r="J16" s="62">
        <f t="shared" si="6"/>
        <v>9</v>
      </c>
      <c r="K16" s="21">
        <f t="shared" si="6"/>
        <v>11</v>
      </c>
      <c r="L16" s="21">
        <f t="shared" si="6"/>
        <v>11</v>
      </c>
      <c r="M16" s="21">
        <f t="shared" si="6"/>
        <v>11</v>
      </c>
      <c r="N16" s="21">
        <f t="shared" si="6"/>
        <v>11</v>
      </c>
      <c r="O16" s="21">
        <f t="shared" si="6"/>
        <v>11</v>
      </c>
      <c r="P16" s="61">
        <f t="shared" si="6"/>
        <v>12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1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4</v>
      </c>
      <c r="D19" s="34">
        <v>0.75</v>
      </c>
      <c r="E19" s="34">
        <v>0</v>
      </c>
      <c r="F19" s="34">
        <v>0.5</v>
      </c>
      <c r="G19" s="34">
        <v>0</v>
      </c>
      <c r="H19" s="34">
        <v>0</v>
      </c>
      <c r="I19" s="34">
        <v>0.5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1.5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0.5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4</v>
      </c>
      <c r="D22" s="21">
        <f t="shared" ref="D22:P22" si="7" xml:space="preserve"> SUM(D18:D21)</f>
        <v>0.75</v>
      </c>
      <c r="E22" s="21">
        <f t="shared" si="7"/>
        <v>0</v>
      </c>
      <c r="F22" s="21">
        <f t="shared" si="7"/>
        <v>0.5</v>
      </c>
      <c r="G22" s="21">
        <f t="shared" si="7"/>
        <v>0</v>
      </c>
      <c r="H22" s="21">
        <f t="shared" si="7"/>
        <v>0</v>
      </c>
      <c r="I22" s="61">
        <f t="shared" si="7"/>
        <v>1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2.5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1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4</v>
      </c>
      <c r="D25" s="22">
        <f xml:space="preserve"> C$25 + D$19</f>
        <v>4.75</v>
      </c>
      <c r="E25" s="22">
        <f t="shared" ref="E25:P25" si="9" xml:space="preserve"> D$25 + E$19</f>
        <v>4.75</v>
      </c>
      <c r="F25" s="22">
        <f t="shared" si="9"/>
        <v>5.25</v>
      </c>
      <c r="G25" s="22">
        <f t="shared" si="9"/>
        <v>5.25</v>
      </c>
      <c r="H25" s="22">
        <f t="shared" si="9"/>
        <v>5.25</v>
      </c>
      <c r="I25" s="63">
        <f t="shared" si="9"/>
        <v>5.75</v>
      </c>
      <c r="J25" s="64">
        <f t="shared" si="9"/>
        <v>5.75</v>
      </c>
      <c r="K25" s="22">
        <f t="shared" si="9"/>
        <v>5.75</v>
      </c>
      <c r="L25" s="22">
        <f t="shared" si="9"/>
        <v>5.75</v>
      </c>
      <c r="M25" s="22">
        <f t="shared" si="9"/>
        <v>5.75</v>
      </c>
      <c r="N25" s="22">
        <f t="shared" si="9"/>
        <v>5.75</v>
      </c>
      <c r="O25" s="22">
        <f t="shared" si="9"/>
        <v>5.75</v>
      </c>
      <c r="P25" s="63">
        <f t="shared" si="9"/>
        <v>7.25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0.5</v>
      </c>
      <c r="J26" s="64">
        <f t="shared" si="10"/>
        <v>0.5</v>
      </c>
      <c r="K26" s="22">
        <f t="shared" si="10"/>
        <v>0.5</v>
      </c>
      <c r="L26" s="22">
        <f t="shared" si="10"/>
        <v>1</v>
      </c>
      <c r="M26" s="22">
        <f t="shared" si="10"/>
        <v>1</v>
      </c>
      <c r="N26" s="22">
        <f t="shared" si="10"/>
        <v>1</v>
      </c>
      <c r="O26" s="22">
        <f t="shared" si="10"/>
        <v>1</v>
      </c>
      <c r="P26" s="63">
        <f t="shared" si="10"/>
        <v>1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4</v>
      </c>
      <c r="D28" s="21">
        <f t="shared" ref="D28:P28" si="12" xml:space="preserve"> SUM(D24:D27)</f>
        <v>4.75</v>
      </c>
      <c r="E28" s="21">
        <f t="shared" si="12"/>
        <v>4.75</v>
      </c>
      <c r="F28" s="21">
        <f t="shared" si="12"/>
        <v>5.25</v>
      </c>
      <c r="G28" s="21">
        <f t="shared" si="12"/>
        <v>5.25</v>
      </c>
      <c r="H28" s="21">
        <f t="shared" si="12"/>
        <v>5.25</v>
      </c>
      <c r="I28" s="61">
        <f t="shared" si="12"/>
        <v>6.25</v>
      </c>
      <c r="J28" s="62">
        <f t="shared" si="12"/>
        <v>6.25</v>
      </c>
      <c r="K28" s="21">
        <f t="shared" si="12"/>
        <v>6.25</v>
      </c>
      <c r="L28" s="21">
        <f t="shared" si="12"/>
        <v>6.75</v>
      </c>
      <c r="M28" s="21">
        <f t="shared" si="12"/>
        <v>6.75</v>
      </c>
      <c r="N28" s="21">
        <f t="shared" si="12"/>
        <v>6.75</v>
      </c>
      <c r="O28" s="21">
        <f t="shared" si="12"/>
        <v>6.75</v>
      </c>
      <c r="P28" s="61">
        <f t="shared" si="12"/>
        <v>9.25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0.25</v>
      </c>
      <c r="E30" s="22">
        <f t="shared" ref="E30:P30" si="13" xml:space="preserve"> (E$12 + E$24) / E$5</f>
        <v>0.16666666666666666</v>
      </c>
      <c r="F30" s="22">
        <f t="shared" si="13"/>
        <v>0.25</v>
      </c>
      <c r="G30" s="22">
        <f t="shared" si="13"/>
        <v>0.2</v>
      </c>
      <c r="H30" s="22">
        <f t="shared" si="13"/>
        <v>0.16666666666666666</v>
      </c>
      <c r="I30" s="63">
        <f t="shared" si="13"/>
        <v>0.14285714285714285</v>
      </c>
      <c r="J30" s="64">
        <f t="shared" si="13"/>
        <v>0.6875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4</v>
      </c>
      <c r="D31" s="22">
        <f xml:space="preserve"> (D$13 + D$25) / D$5</f>
        <v>2.625</v>
      </c>
      <c r="E31" s="22">
        <f t="shared" ref="E31:P31" si="14" xml:space="preserve"> (E$13 + E$25) / E$5</f>
        <v>1.75</v>
      </c>
      <c r="F31" s="22">
        <f t="shared" si="14"/>
        <v>1.4375</v>
      </c>
      <c r="G31" s="22">
        <f t="shared" si="14"/>
        <v>1.1499999999999999</v>
      </c>
      <c r="H31" s="22">
        <f t="shared" si="14"/>
        <v>0.95833333333333337</v>
      </c>
      <c r="I31" s="63">
        <f t="shared" si="14"/>
        <v>0.8928571428571429</v>
      </c>
      <c r="J31" s="64">
        <f t="shared" si="14"/>
        <v>0.78125</v>
      </c>
      <c r="K31" s="22">
        <f t="shared" si="14"/>
        <v>0.86111111111111116</v>
      </c>
      <c r="L31" s="22">
        <f t="shared" si="14"/>
        <v>0.77500000000000002</v>
      </c>
      <c r="M31" s="22">
        <f t="shared" si="14"/>
        <v>0.70454545454545459</v>
      </c>
      <c r="N31" s="22">
        <f t="shared" si="14"/>
        <v>0.64583333333333337</v>
      </c>
      <c r="O31" s="22">
        <f t="shared" si="14"/>
        <v>0.59615384615384615</v>
      </c>
      <c r="P31" s="63">
        <f t="shared" si="14"/>
        <v>0.6607142857142857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0.25</v>
      </c>
      <c r="E32" s="22">
        <f t="shared" ref="E32:P32" si="15" xml:space="preserve"> (E$14 + E$26) / E$5</f>
        <v>0.16666666666666666</v>
      </c>
      <c r="F32" s="22">
        <f t="shared" si="15"/>
        <v>0.125</v>
      </c>
      <c r="G32" s="22">
        <f t="shared" si="15"/>
        <v>0.1</v>
      </c>
      <c r="H32" s="22">
        <f t="shared" si="15"/>
        <v>8.3333333333333329E-2</v>
      </c>
      <c r="I32" s="63">
        <f t="shared" si="15"/>
        <v>0.5</v>
      </c>
      <c r="J32" s="64">
        <f t="shared" si="15"/>
        <v>0.4375</v>
      </c>
      <c r="K32" s="22">
        <f t="shared" si="15"/>
        <v>0.3888888888888889</v>
      </c>
      <c r="L32" s="22">
        <f t="shared" si="15"/>
        <v>0.4</v>
      </c>
      <c r="M32" s="22">
        <f t="shared" si="15"/>
        <v>0.36363636363636365</v>
      </c>
      <c r="N32" s="22">
        <f t="shared" si="15"/>
        <v>0.33333333333333331</v>
      </c>
      <c r="O32" s="22">
        <f t="shared" si="15"/>
        <v>0.30769230769230771</v>
      </c>
      <c r="P32" s="63">
        <f t="shared" si="15"/>
        <v>0.35714285714285715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4</v>
      </c>
      <c r="D34" s="21">
        <f t="shared" ref="D34:P34" si="17" xml:space="preserve"> SUM(D30:D33)</f>
        <v>3.125</v>
      </c>
      <c r="E34" s="21">
        <f t="shared" si="17"/>
        <v>2.0833333333333335</v>
      </c>
      <c r="F34" s="21">
        <f t="shared" si="17"/>
        <v>1.8125</v>
      </c>
      <c r="G34" s="21">
        <f t="shared" si="17"/>
        <v>1.45</v>
      </c>
      <c r="H34" s="21">
        <f t="shared" si="17"/>
        <v>1.2083333333333333</v>
      </c>
      <c r="I34" s="61">
        <f t="shared" si="17"/>
        <v>1.5357142857142858</v>
      </c>
      <c r="J34" s="62">
        <f t="shared" si="17"/>
        <v>1.90625</v>
      </c>
      <c r="K34" s="21">
        <f t="shared" si="17"/>
        <v>1.9166666666666665</v>
      </c>
      <c r="L34" s="21">
        <f t="shared" si="17"/>
        <v>1.7749999999999999</v>
      </c>
      <c r="M34" s="21">
        <f t="shared" si="17"/>
        <v>1.6136363636363638</v>
      </c>
      <c r="N34" s="21">
        <f t="shared" si="17"/>
        <v>1.4791666666666667</v>
      </c>
      <c r="O34" s="21">
        <f t="shared" si="17"/>
        <v>1.3653846153846154</v>
      </c>
      <c r="P34" s="61">
        <f t="shared" si="17"/>
        <v>1.5178571428571428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</v>
      </c>
      <c r="D37" s="25">
        <f xml:space="preserve"> SUM(J6:P6) + SUM(J18:P18)</f>
        <v>6</v>
      </c>
      <c r="E37" s="25">
        <f xml:space="preserve"> SUM(C37:D37)</f>
        <v>7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6.25</v>
      </c>
      <c r="D38" s="25">
        <f xml:space="preserve"> SUM(J7:P7) + SUM(J19:P19)</f>
        <v>3</v>
      </c>
      <c r="E38" s="25">
        <f xml:space="preserve"> SUM(C38:D38)</f>
        <v>9.25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3.5</v>
      </c>
      <c r="D39" s="25">
        <f xml:space="preserve"> SUM(J8:P8) + SUM(J20:P20)</f>
        <v>1.5</v>
      </c>
      <c r="E39" s="25">
        <f xml:space="preserve"> SUM(C39:D39)</f>
        <v>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10.75</v>
      </c>
      <c r="D41" s="21">
        <f xml:space="preserve"> SUM(D37:D40)</f>
        <v>10.5</v>
      </c>
      <c r="E41" s="21">
        <f xml:space="preserve"> SUM(C41:D41)</f>
        <v>21.25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</v>
      </c>
      <c r="D43" s="25">
        <f xml:space="preserve"> SUM(C37:D37) / D$36</f>
        <v>3.5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6.25</v>
      </c>
      <c r="D44" s="25">
        <f xml:space="preserve"> SUM(C38:D38) / D$36</f>
        <v>4.625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3.5</v>
      </c>
      <c r="D45" s="25">
        <f xml:space="preserve"> SUM(C39:D39) / D$36</f>
        <v>2.5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10.75</v>
      </c>
      <c r="D47" s="21">
        <f xml:space="preserve"> SUM(D43:D46)</f>
        <v>10.625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2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5">
        <f t="shared" si="0"/>
        <v>42295</v>
      </c>
      <c r="J4" s="56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5">
        <f t="shared" si="0"/>
        <v>42302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0.25</v>
      </c>
      <c r="G6" s="34">
        <v>3.75</v>
      </c>
      <c r="H6" s="34">
        <v>0</v>
      </c>
      <c r="I6" s="34">
        <v>1</v>
      </c>
      <c r="J6" s="60">
        <v>4.5170000000000003</v>
      </c>
      <c r="K6" s="33">
        <v>0.48299999999999998</v>
      </c>
      <c r="L6" s="33">
        <v>0</v>
      </c>
      <c r="M6" s="33">
        <v>0</v>
      </c>
      <c r="N6" s="33">
        <v>0</v>
      </c>
      <c r="O6" s="33">
        <v>0</v>
      </c>
      <c r="P6" s="59">
        <v>5.5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2</v>
      </c>
      <c r="K7" s="33">
        <v>6</v>
      </c>
      <c r="L7" s="33">
        <v>0</v>
      </c>
      <c r="M7" s="33">
        <v>0</v>
      </c>
      <c r="N7" s="33">
        <v>0</v>
      </c>
      <c r="O7" s="33">
        <v>0</v>
      </c>
      <c r="P7" s="59">
        <v>4.0030000000000001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5.0670000000000002</v>
      </c>
      <c r="J8" s="60">
        <v>0.5</v>
      </c>
      <c r="K8" s="33">
        <v>0</v>
      </c>
      <c r="L8" s="33">
        <v>0</v>
      </c>
      <c r="M8" s="33">
        <v>3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0.25</v>
      </c>
      <c r="G10" s="21">
        <f t="shared" si="1"/>
        <v>3.75</v>
      </c>
      <c r="H10" s="21">
        <f t="shared" si="1"/>
        <v>2</v>
      </c>
      <c r="I10" s="61">
        <f t="shared" si="1"/>
        <v>6.0670000000000002</v>
      </c>
      <c r="J10" s="62">
        <f t="shared" si="1"/>
        <v>7.0170000000000003</v>
      </c>
      <c r="K10" s="21">
        <f t="shared" si="1"/>
        <v>6.4829999999999997</v>
      </c>
      <c r="L10" s="21">
        <f t="shared" si="1"/>
        <v>0</v>
      </c>
      <c r="M10" s="21">
        <f t="shared" si="1"/>
        <v>3</v>
      </c>
      <c r="N10" s="21">
        <f t="shared" si="1"/>
        <v>0</v>
      </c>
      <c r="O10" s="21">
        <f t="shared" si="1"/>
        <v>2</v>
      </c>
      <c r="P10" s="61">
        <f t="shared" si="1"/>
        <v>9.5030000000000001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0.25</v>
      </c>
      <c r="G12" s="22">
        <f t="shared" si="2"/>
        <v>4</v>
      </c>
      <c r="H12" s="22">
        <f t="shared" si="2"/>
        <v>4</v>
      </c>
      <c r="I12" s="63">
        <f t="shared" si="2"/>
        <v>5</v>
      </c>
      <c r="J12" s="64">
        <f t="shared" si="2"/>
        <v>9.5169999999999995</v>
      </c>
      <c r="K12" s="22">
        <f t="shared" si="2"/>
        <v>10</v>
      </c>
      <c r="L12" s="22">
        <f t="shared" si="2"/>
        <v>10</v>
      </c>
      <c r="M12" s="22">
        <f t="shared" si="2"/>
        <v>10</v>
      </c>
      <c r="N12" s="22">
        <f t="shared" si="2"/>
        <v>10</v>
      </c>
      <c r="O12" s="22">
        <f t="shared" si="2"/>
        <v>10</v>
      </c>
      <c r="P12" s="63">
        <f t="shared" si="2"/>
        <v>15.5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4</v>
      </c>
      <c r="K13" s="22">
        <f t="shared" si="3"/>
        <v>10</v>
      </c>
      <c r="L13" s="22">
        <f t="shared" si="3"/>
        <v>10</v>
      </c>
      <c r="M13" s="22">
        <f t="shared" si="3"/>
        <v>10</v>
      </c>
      <c r="N13" s="22">
        <f t="shared" si="3"/>
        <v>10</v>
      </c>
      <c r="O13" s="22">
        <f t="shared" si="3"/>
        <v>10</v>
      </c>
      <c r="P13" s="63">
        <f t="shared" si="3"/>
        <v>14.003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5.0670000000000002</v>
      </c>
      <c r="J14" s="64">
        <f t="shared" si="4"/>
        <v>5.5670000000000002</v>
      </c>
      <c r="K14" s="22">
        <f t="shared" si="4"/>
        <v>5.5670000000000002</v>
      </c>
      <c r="L14" s="22">
        <f t="shared" si="4"/>
        <v>5.5670000000000002</v>
      </c>
      <c r="M14" s="22">
        <f t="shared" si="4"/>
        <v>8.5670000000000002</v>
      </c>
      <c r="N14" s="22">
        <f t="shared" si="4"/>
        <v>8.5670000000000002</v>
      </c>
      <c r="O14" s="22">
        <f t="shared" si="4"/>
        <v>10.567</v>
      </c>
      <c r="P14" s="63">
        <f t="shared" si="4"/>
        <v>10.567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0.25</v>
      </c>
      <c r="G16" s="21">
        <f t="shared" si="6"/>
        <v>4</v>
      </c>
      <c r="H16" s="21">
        <f t="shared" si="6"/>
        <v>6</v>
      </c>
      <c r="I16" s="61">
        <f t="shared" si="6"/>
        <v>12.067</v>
      </c>
      <c r="J16" s="62">
        <f t="shared" si="6"/>
        <v>19.084</v>
      </c>
      <c r="K16" s="21">
        <f t="shared" si="6"/>
        <v>25.567</v>
      </c>
      <c r="L16" s="21">
        <f t="shared" si="6"/>
        <v>25.567</v>
      </c>
      <c r="M16" s="21">
        <f t="shared" si="6"/>
        <v>28.567</v>
      </c>
      <c r="N16" s="21">
        <f t="shared" si="6"/>
        <v>28.567</v>
      </c>
      <c r="O16" s="21">
        <f t="shared" si="6"/>
        <v>30.567</v>
      </c>
      <c r="P16" s="61">
        <f t="shared" si="6"/>
        <v>40.07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6.25E-2</v>
      </c>
      <c r="G30" s="22">
        <f t="shared" si="13"/>
        <v>0.8</v>
      </c>
      <c r="H30" s="22">
        <f t="shared" si="13"/>
        <v>0.66666666666666663</v>
      </c>
      <c r="I30" s="63">
        <f t="shared" si="13"/>
        <v>0.7142857142857143</v>
      </c>
      <c r="J30" s="64">
        <f t="shared" si="13"/>
        <v>1.1896249999999999</v>
      </c>
      <c r="K30" s="22">
        <f t="shared" si="13"/>
        <v>1.1111111111111112</v>
      </c>
      <c r="L30" s="22">
        <f t="shared" si="13"/>
        <v>1</v>
      </c>
      <c r="M30" s="22">
        <f t="shared" si="13"/>
        <v>0.90909090909090906</v>
      </c>
      <c r="N30" s="22">
        <f t="shared" si="13"/>
        <v>0.83333333333333337</v>
      </c>
      <c r="O30" s="22">
        <f t="shared" si="13"/>
        <v>0.76923076923076927</v>
      </c>
      <c r="P30" s="63">
        <f t="shared" si="13"/>
        <v>1.1071428571428572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0.5</v>
      </c>
      <c r="K31" s="22">
        <f t="shared" si="14"/>
        <v>1.1111111111111112</v>
      </c>
      <c r="L31" s="22">
        <f t="shared" si="14"/>
        <v>1</v>
      </c>
      <c r="M31" s="22">
        <f t="shared" si="14"/>
        <v>0.90909090909090906</v>
      </c>
      <c r="N31" s="22">
        <f t="shared" si="14"/>
        <v>0.83333333333333337</v>
      </c>
      <c r="O31" s="22">
        <f t="shared" si="14"/>
        <v>0.76923076923076927</v>
      </c>
      <c r="P31" s="63">
        <f t="shared" si="14"/>
        <v>1.0002142857142857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0.72385714285714287</v>
      </c>
      <c r="J32" s="64">
        <f t="shared" si="15"/>
        <v>0.69587500000000002</v>
      </c>
      <c r="K32" s="22">
        <f t="shared" si="15"/>
        <v>0.61855555555555553</v>
      </c>
      <c r="L32" s="22">
        <f t="shared" si="15"/>
        <v>0.55669999999999997</v>
      </c>
      <c r="M32" s="22">
        <f t="shared" si="15"/>
        <v>0.77881818181818185</v>
      </c>
      <c r="N32" s="22">
        <f t="shared" si="15"/>
        <v>0.71391666666666664</v>
      </c>
      <c r="O32" s="22">
        <f t="shared" si="15"/>
        <v>0.81284615384615388</v>
      </c>
      <c r="P32" s="63">
        <f t="shared" si="15"/>
        <v>0.75478571428571428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6.25E-2</v>
      </c>
      <c r="G34" s="21">
        <f t="shared" si="17"/>
        <v>0.8</v>
      </c>
      <c r="H34" s="21">
        <f t="shared" si="17"/>
        <v>1</v>
      </c>
      <c r="I34" s="61">
        <f t="shared" si="17"/>
        <v>1.7238571428571428</v>
      </c>
      <c r="J34" s="62">
        <f t="shared" si="17"/>
        <v>2.3855</v>
      </c>
      <c r="K34" s="21">
        <f t="shared" si="17"/>
        <v>2.8407777777777778</v>
      </c>
      <c r="L34" s="21">
        <f t="shared" si="17"/>
        <v>2.5567000000000002</v>
      </c>
      <c r="M34" s="21">
        <f t="shared" si="17"/>
        <v>2.597</v>
      </c>
      <c r="N34" s="21">
        <f t="shared" si="17"/>
        <v>2.3805833333333335</v>
      </c>
      <c r="O34" s="21">
        <f t="shared" si="17"/>
        <v>2.3513076923076923</v>
      </c>
      <c r="P34" s="61">
        <f t="shared" si="17"/>
        <v>2.8621428571428571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5</v>
      </c>
      <c r="D37" s="25">
        <f xml:space="preserve"> SUM(J6:P6) + SUM(J18:P18)</f>
        <v>10.5</v>
      </c>
      <c r="E37" s="25">
        <f xml:space="preserve"> SUM(C37:D37)</f>
        <v>15.5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12.003</v>
      </c>
      <c r="E38" s="25">
        <f xml:space="preserve"> SUM(C38:D38)</f>
        <v>14.003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5.0670000000000002</v>
      </c>
      <c r="D39" s="25">
        <f xml:space="preserve"> SUM(J8:P8) + SUM(J20:P20)</f>
        <v>5.5</v>
      </c>
      <c r="E39" s="25">
        <f xml:space="preserve"> SUM(C39:D39)</f>
        <v>10.567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12.067</v>
      </c>
      <c r="D41" s="21">
        <f xml:space="preserve"> SUM(D37:D40)</f>
        <v>28.003</v>
      </c>
      <c r="E41" s="21">
        <f xml:space="preserve"> SUM(C41:D41)</f>
        <v>40.07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5</v>
      </c>
      <c r="D43" s="25">
        <f xml:space="preserve"> SUM(C37:D37) / D$36</f>
        <v>7.75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7.0015000000000001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5.0670000000000002</v>
      </c>
      <c r="D45" s="25">
        <f xml:space="preserve"> SUM(C39:D39) / D$36</f>
        <v>5.2835000000000001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12.067</v>
      </c>
      <c r="D47" s="21">
        <f xml:space="preserve"> SUM(D43:D46)</f>
        <v>20.035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3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5">
        <f t="shared" si="0"/>
        <v>42309</v>
      </c>
      <c r="J4" s="56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5">
        <f t="shared" si="0"/>
        <v>42316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0.25</v>
      </c>
      <c r="D6" s="34">
        <v>2.75</v>
      </c>
      <c r="E6" s="34">
        <v>3</v>
      </c>
      <c r="F6" s="34">
        <v>0</v>
      </c>
      <c r="G6" s="34">
        <v>0</v>
      </c>
      <c r="H6" s="34">
        <v>0</v>
      </c>
      <c r="I6" s="34">
        <v>5</v>
      </c>
      <c r="J6" s="60">
        <v>3</v>
      </c>
      <c r="K6" s="33">
        <v>1</v>
      </c>
      <c r="L6" s="33">
        <v>3</v>
      </c>
      <c r="M6" s="33">
        <v>0</v>
      </c>
      <c r="N6" s="33">
        <v>0</v>
      </c>
      <c r="O6" s="33">
        <v>0</v>
      </c>
      <c r="P6" s="59">
        <v>2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5</v>
      </c>
      <c r="E7" s="34">
        <v>0</v>
      </c>
      <c r="F7" s="34">
        <v>0</v>
      </c>
      <c r="G7" s="34">
        <v>0</v>
      </c>
      <c r="H7" s="34">
        <v>2</v>
      </c>
      <c r="I7" s="34">
        <v>4</v>
      </c>
      <c r="J7" s="60">
        <v>0</v>
      </c>
      <c r="K7" s="33">
        <v>5</v>
      </c>
      <c r="L7" s="33">
        <v>0</v>
      </c>
      <c r="M7" s="33">
        <v>0</v>
      </c>
      <c r="N7" s="33">
        <v>0</v>
      </c>
      <c r="O7" s="33">
        <v>0</v>
      </c>
      <c r="P7" s="59">
        <v>3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2</v>
      </c>
      <c r="E8" s="34">
        <v>0</v>
      </c>
      <c r="F8" s="34">
        <v>0</v>
      </c>
      <c r="G8" s="34">
        <v>4</v>
      </c>
      <c r="H8" s="34">
        <v>0</v>
      </c>
      <c r="I8" s="34">
        <v>0</v>
      </c>
      <c r="J8" s="60">
        <v>1</v>
      </c>
      <c r="K8" s="33">
        <v>0</v>
      </c>
      <c r="L8" s="33">
        <v>2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t="shared" ref="C10:P10" si="1" xml:space="preserve"> SUM(C6:C9)</f>
        <v>0.25</v>
      </c>
      <c r="D10" s="21">
        <f t="shared" si="1"/>
        <v>9.75</v>
      </c>
      <c r="E10" s="21">
        <f t="shared" si="1"/>
        <v>3</v>
      </c>
      <c r="F10" s="21">
        <f t="shared" si="1"/>
        <v>0</v>
      </c>
      <c r="G10" s="21">
        <f t="shared" si="1"/>
        <v>4</v>
      </c>
      <c r="H10" s="21">
        <f t="shared" si="1"/>
        <v>2</v>
      </c>
      <c r="I10" s="61">
        <f t="shared" si="1"/>
        <v>9</v>
      </c>
      <c r="J10" s="62">
        <f t="shared" si="1"/>
        <v>4</v>
      </c>
      <c r="K10" s="21">
        <f t="shared" si="1"/>
        <v>6</v>
      </c>
      <c r="L10" s="21">
        <f t="shared" si="1"/>
        <v>5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5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0.25</v>
      </c>
      <c r="D12" s="22">
        <f t="shared" ref="D12:P12" si="2" xml:space="preserve"> C$12 + D$6</f>
        <v>3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11</v>
      </c>
      <c r="J12" s="64">
        <f t="shared" si="2"/>
        <v>14</v>
      </c>
      <c r="K12" s="22">
        <f t="shared" si="2"/>
        <v>15</v>
      </c>
      <c r="L12" s="22">
        <f t="shared" si="2"/>
        <v>18</v>
      </c>
      <c r="M12" s="22">
        <f t="shared" si="2"/>
        <v>18</v>
      </c>
      <c r="N12" s="22">
        <f t="shared" si="2"/>
        <v>18</v>
      </c>
      <c r="O12" s="22">
        <f t="shared" si="2"/>
        <v>18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5</v>
      </c>
      <c r="E13" s="22">
        <f t="shared" si="3"/>
        <v>5</v>
      </c>
      <c r="F13" s="22">
        <f t="shared" si="3"/>
        <v>5</v>
      </c>
      <c r="G13" s="22">
        <f t="shared" si="3"/>
        <v>5</v>
      </c>
      <c r="H13" s="22">
        <f t="shared" si="3"/>
        <v>7</v>
      </c>
      <c r="I13" s="63">
        <f t="shared" si="3"/>
        <v>11</v>
      </c>
      <c r="J13" s="64">
        <f t="shared" si="3"/>
        <v>11</v>
      </c>
      <c r="K13" s="22">
        <f t="shared" si="3"/>
        <v>16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19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2</v>
      </c>
      <c r="E14" s="22">
        <f t="shared" si="4"/>
        <v>2</v>
      </c>
      <c r="F14" s="22">
        <f t="shared" si="4"/>
        <v>2</v>
      </c>
      <c r="G14" s="22">
        <f t="shared" si="4"/>
        <v>6</v>
      </c>
      <c r="H14" s="22">
        <f t="shared" si="4"/>
        <v>6</v>
      </c>
      <c r="I14" s="63">
        <f t="shared" si="4"/>
        <v>6</v>
      </c>
      <c r="J14" s="64">
        <f t="shared" si="4"/>
        <v>7</v>
      </c>
      <c r="K14" s="22">
        <f t="shared" si="4"/>
        <v>7</v>
      </c>
      <c r="L14" s="22">
        <f t="shared" si="4"/>
        <v>9</v>
      </c>
      <c r="M14" s="22">
        <f t="shared" si="4"/>
        <v>9</v>
      </c>
      <c r="N14" s="22">
        <f t="shared" si="4"/>
        <v>9</v>
      </c>
      <c r="O14" s="22">
        <f t="shared" si="4"/>
        <v>11</v>
      </c>
      <c r="P14" s="63">
        <f t="shared" si="4"/>
        <v>11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0.25</v>
      </c>
      <c r="D16" s="21">
        <f t="shared" ref="D16:P16" si="6" xml:space="preserve"> SUM(D12:D15)</f>
        <v>10</v>
      </c>
      <c r="E16" s="21">
        <f t="shared" si="6"/>
        <v>13</v>
      </c>
      <c r="F16" s="21">
        <f t="shared" si="6"/>
        <v>13</v>
      </c>
      <c r="G16" s="21">
        <f t="shared" si="6"/>
        <v>17</v>
      </c>
      <c r="H16" s="21">
        <f t="shared" si="6"/>
        <v>19</v>
      </c>
      <c r="I16" s="61">
        <f t="shared" si="6"/>
        <v>28</v>
      </c>
      <c r="J16" s="62">
        <f t="shared" si="6"/>
        <v>32</v>
      </c>
      <c r="K16" s="21">
        <f t="shared" si="6"/>
        <v>38</v>
      </c>
      <c r="L16" s="21">
        <f t="shared" si="6"/>
        <v>43</v>
      </c>
      <c r="M16" s="21">
        <f t="shared" si="6"/>
        <v>43</v>
      </c>
      <c r="N16" s="21">
        <f t="shared" si="6"/>
        <v>43</v>
      </c>
      <c r="O16" s="21">
        <f t="shared" si="6"/>
        <v>45</v>
      </c>
      <c r="P16" s="61">
        <f t="shared" si="6"/>
        <v>50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t="shared" ref="C30:P30" si="13" xml:space="preserve"> (C$12 + C$24) / C$5</f>
        <v>0.25</v>
      </c>
      <c r="D30" s="22">
        <f t="shared" si="13"/>
        <v>1.5</v>
      </c>
      <c r="E30" s="22">
        <f t="shared" si="13"/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1.5714285714285714</v>
      </c>
      <c r="J30" s="64">
        <f t="shared" si="13"/>
        <v>1.75</v>
      </c>
      <c r="K30" s="22">
        <f t="shared" si="13"/>
        <v>1.6666666666666667</v>
      </c>
      <c r="L30" s="22">
        <f t="shared" si="13"/>
        <v>1.8</v>
      </c>
      <c r="M30" s="22">
        <f t="shared" si="13"/>
        <v>1.6363636363636365</v>
      </c>
      <c r="N30" s="22">
        <f t="shared" si="13"/>
        <v>1.5</v>
      </c>
      <c r="O30" s="22">
        <f t="shared" si="13"/>
        <v>1.3846153846153846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t="shared" ref="C31:P31" si="14" xml:space="preserve"> (C$13 + C$25) / C$5</f>
        <v>0</v>
      </c>
      <c r="D31" s="22">
        <f t="shared" si="14"/>
        <v>2.5</v>
      </c>
      <c r="E31" s="22">
        <f t="shared" si="14"/>
        <v>1.6666666666666667</v>
      </c>
      <c r="F31" s="22">
        <f t="shared" si="14"/>
        <v>1.25</v>
      </c>
      <c r="G31" s="22">
        <f t="shared" si="14"/>
        <v>1</v>
      </c>
      <c r="H31" s="22">
        <f t="shared" si="14"/>
        <v>1.1666666666666667</v>
      </c>
      <c r="I31" s="63">
        <f t="shared" si="14"/>
        <v>1.5714285714285714</v>
      </c>
      <c r="J31" s="64">
        <f t="shared" si="14"/>
        <v>1.375</v>
      </c>
      <c r="K31" s="22">
        <f t="shared" si="14"/>
        <v>1.7777777777777777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1.3571428571428572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t="shared" ref="C32:P32" si="15" xml:space="preserve"> (C$14 + C$26) / C$5</f>
        <v>0</v>
      </c>
      <c r="D32" s="22">
        <f t="shared" si="15"/>
        <v>1</v>
      </c>
      <c r="E32" s="22">
        <f t="shared" si="15"/>
        <v>0.66666666666666663</v>
      </c>
      <c r="F32" s="22">
        <f t="shared" si="15"/>
        <v>0.5</v>
      </c>
      <c r="G32" s="22">
        <f t="shared" si="15"/>
        <v>1.2</v>
      </c>
      <c r="H32" s="22">
        <f t="shared" si="15"/>
        <v>1</v>
      </c>
      <c r="I32" s="63">
        <f t="shared" si="15"/>
        <v>0.8571428571428571</v>
      </c>
      <c r="J32" s="64">
        <f t="shared" si="15"/>
        <v>0.875</v>
      </c>
      <c r="K32" s="22">
        <f t="shared" si="15"/>
        <v>0.77777777777777779</v>
      </c>
      <c r="L32" s="22">
        <f t="shared" si="15"/>
        <v>0.9</v>
      </c>
      <c r="M32" s="22">
        <f t="shared" si="15"/>
        <v>0.81818181818181823</v>
      </c>
      <c r="N32" s="22">
        <f t="shared" si="15"/>
        <v>0.75</v>
      </c>
      <c r="O32" s="22">
        <f t="shared" si="15"/>
        <v>0.84615384615384615</v>
      </c>
      <c r="P32" s="63">
        <f t="shared" si="15"/>
        <v>0.7857142857142857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t="shared" ref="C33:P33" si="16" xml:space="preserve"> (C$15 + C$27) / C$5</f>
        <v>0</v>
      </c>
      <c r="D33" s="22">
        <f t="shared" si="16"/>
        <v>0</v>
      </c>
      <c r="E33" s="22">
        <f t="shared" si="16"/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0.25</v>
      </c>
      <c r="D34" s="21">
        <f t="shared" ref="D34:P34" si="17" xml:space="preserve"> SUM(D30:D33)</f>
        <v>5</v>
      </c>
      <c r="E34" s="21">
        <f t="shared" si="17"/>
        <v>4.3333333333333339</v>
      </c>
      <c r="F34" s="21">
        <f t="shared" si="17"/>
        <v>3.25</v>
      </c>
      <c r="G34" s="21">
        <f t="shared" si="17"/>
        <v>3.4000000000000004</v>
      </c>
      <c r="H34" s="21">
        <f t="shared" si="17"/>
        <v>3.166666666666667</v>
      </c>
      <c r="I34" s="61">
        <f t="shared" si="17"/>
        <v>4</v>
      </c>
      <c r="J34" s="62">
        <f t="shared" si="17"/>
        <v>4</v>
      </c>
      <c r="K34" s="21">
        <f t="shared" si="17"/>
        <v>4.2222222222222223</v>
      </c>
      <c r="L34" s="21">
        <f t="shared" si="17"/>
        <v>4.3000000000000007</v>
      </c>
      <c r="M34" s="21">
        <f t="shared" si="17"/>
        <v>3.9090909090909092</v>
      </c>
      <c r="N34" s="21">
        <f t="shared" si="17"/>
        <v>3.583333333333333</v>
      </c>
      <c r="O34" s="21">
        <f t="shared" si="17"/>
        <v>3.4615384615384617</v>
      </c>
      <c r="P34" s="61">
        <f t="shared" si="17"/>
        <v>3.5714285714285712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11</v>
      </c>
      <c r="D37" s="25">
        <f xml:space="preserve"> SUM(J6:P6) + SUM(J18:P18)</f>
        <v>9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11</v>
      </c>
      <c r="D38" s="25">
        <f xml:space="preserve"> SUM(J7:P7) + SUM(J19:P19)</f>
        <v>8</v>
      </c>
      <c r="E38" s="25">
        <f xml:space="preserve"> SUM(C38:D38)</f>
        <v>19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6</v>
      </c>
      <c r="D39" s="25">
        <f xml:space="preserve"> SUM(J8:P8) + SUM(J20:P20)</f>
        <v>5</v>
      </c>
      <c r="E39" s="25">
        <f xml:space="preserve"> SUM(C39:D39)</f>
        <v>11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28</v>
      </c>
      <c r="D41" s="21">
        <f xml:space="preserve"> SUM(D37:D40)</f>
        <v>22</v>
      </c>
      <c r="E41" s="21">
        <f xml:space="preserve"> SUM(C41:D41)</f>
        <v>50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11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11</v>
      </c>
      <c r="D44" s="25">
        <f xml:space="preserve"> SUM(C38:D38) / D$36</f>
        <v>9.5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6</v>
      </c>
      <c r="D45" s="25">
        <f xml:space="preserve"> SUM(C39:D39) / D$36</f>
        <v>5.5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28</v>
      </c>
      <c r="D47" s="21">
        <f xml:space="preserve"> SUM(D43:D46)</f>
        <v>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S13" sqref="S13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4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5">
        <f t="shared" si="0"/>
        <v>42323</v>
      </c>
      <c r="J4" s="56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5">
        <f t="shared" si="0"/>
        <v>42330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6</v>
      </c>
      <c r="J6" s="60">
        <v>5</v>
      </c>
      <c r="K6" s="33">
        <v>4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2</v>
      </c>
      <c r="I7" s="34">
        <v>0</v>
      </c>
      <c r="J7" s="60">
        <v>4</v>
      </c>
      <c r="K7" s="33">
        <v>0</v>
      </c>
      <c r="L7" s="33">
        <v>2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/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2</v>
      </c>
      <c r="I10" s="61">
        <f t="shared" si="1"/>
        <v>6</v>
      </c>
      <c r="J10" s="62">
        <f t="shared" si="1"/>
        <v>9</v>
      </c>
      <c r="K10" s="21">
        <f t="shared" si="1"/>
        <v>4</v>
      </c>
      <c r="L10" s="21">
        <f t="shared" si="1"/>
        <v>2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6</v>
      </c>
      <c r="J12" s="64">
        <f t="shared" si="2"/>
        <v>11</v>
      </c>
      <c r="K12" s="22">
        <f t="shared" si="2"/>
        <v>15</v>
      </c>
      <c r="L12" s="22">
        <f t="shared" si="2"/>
        <v>15</v>
      </c>
      <c r="M12" s="22">
        <f t="shared" si="2"/>
        <v>15</v>
      </c>
      <c r="N12" s="22">
        <f t="shared" si="2"/>
        <v>15</v>
      </c>
      <c r="O12" s="22">
        <f t="shared" si="2"/>
        <v>15</v>
      </c>
      <c r="P12" s="63">
        <f t="shared" si="2"/>
        <v>15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2</v>
      </c>
      <c r="I13" s="63">
        <f t="shared" si="3"/>
        <v>2</v>
      </c>
      <c r="J13" s="64">
        <f t="shared" si="3"/>
        <v>6</v>
      </c>
      <c r="K13" s="22">
        <f t="shared" si="3"/>
        <v>6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2</v>
      </c>
      <c r="I16" s="61">
        <f t="shared" si="6"/>
        <v>8</v>
      </c>
      <c r="J16" s="62">
        <f t="shared" si="6"/>
        <v>17</v>
      </c>
      <c r="K16" s="21">
        <f t="shared" si="6"/>
        <v>21</v>
      </c>
      <c r="L16" s="21">
        <f t="shared" si="6"/>
        <v>23</v>
      </c>
      <c r="M16" s="21">
        <f t="shared" si="6"/>
        <v>23</v>
      </c>
      <c r="N16" s="21">
        <f t="shared" si="6"/>
        <v>23</v>
      </c>
      <c r="O16" s="21">
        <f t="shared" si="6"/>
        <v>23</v>
      </c>
      <c r="P16" s="61">
        <f t="shared" si="6"/>
        <v>23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2</v>
      </c>
      <c r="I20" s="34">
        <v>0</v>
      </c>
      <c r="J20" s="60">
        <v>0</v>
      </c>
      <c r="K20" s="33">
        <v>0</v>
      </c>
      <c r="L20" s="33">
        <v>0.5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2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0.5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2</v>
      </c>
      <c r="I26" s="63">
        <f t="shared" si="10"/>
        <v>2</v>
      </c>
      <c r="J26" s="64">
        <f t="shared" si="10"/>
        <v>2</v>
      </c>
      <c r="K26" s="22">
        <f t="shared" si="10"/>
        <v>2</v>
      </c>
      <c r="L26" s="22">
        <f t="shared" si="10"/>
        <v>2.5</v>
      </c>
      <c r="M26" s="22">
        <f t="shared" si="10"/>
        <v>2.5</v>
      </c>
      <c r="N26" s="22">
        <f t="shared" si="10"/>
        <v>2.5</v>
      </c>
      <c r="O26" s="22">
        <f t="shared" si="10"/>
        <v>2.5</v>
      </c>
      <c r="P26" s="63">
        <f t="shared" si="10"/>
        <v>2.5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2</v>
      </c>
      <c r="I28" s="61">
        <f t="shared" si="12"/>
        <v>2</v>
      </c>
      <c r="J28" s="62">
        <f t="shared" si="12"/>
        <v>2</v>
      </c>
      <c r="K28" s="21">
        <f t="shared" si="12"/>
        <v>2</v>
      </c>
      <c r="L28" s="21">
        <f t="shared" si="12"/>
        <v>2.5</v>
      </c>
      <c r="M28" s="21">
        <f t="shared" si="12"/>
        <v>2.5</v>
      </c>
      <c r="N28" s="21">
        <f t="shared" si="12"/>
        <v>2.5</v>
      </c>
      <c r="O28" s="21">
        <f t="shared" si="12"/>
        <v>2.5</v>
      </c>
      <c r="P28" s="61">
        <f t="shared" si="12"/>
        <v>2.5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0.8571428571428571</v>
      </c>
      <c r="J30" s="64">
        <f t="shared" si="13"/>
        <v>1.375</v>
      </c>
      <c r="K30" s="22">
        <f t="shared" si="13"/>
        <v>1.6666666666666667</v>
      </c>
      <c r="L30" s="22">
        <f t="shared" si="13"/>
        <v>1.5</v>
      </c>
      <c r="M30" s="22">
        <f t="shared" si="13"/>
        <v>1.3636363636363635</v>
      </c>
      <c r="N30" s="22">
        <f t="shared" si="13"/>
        <v>1.25</v>
      </c>
      <c r="O30" s="22">
        <f t="shared" si="13"/>
        <v>1.1538461538461537</v>
      </c>
      <c r="P30" s="63">
        <f t="shared" si="13"/>
        <v>1.0714285714285714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0.33333333333333331</v>
      </c>
      <c r="I31" s="63">
        <f t="shared" si="14"/>
        <v>0.2857142857142857</v>
      </c>
      <c r="J31" s="64">
        <f t="shared" si="14"/>
        <v>0.75</v>
      </c>
      <c r="K31" s="22">
        <f t="shared" si="14"/>
        <v>0.66666666666666663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0.33333333333333331</v>
      </c>
      <c r="I32" s="63">
        <f t="shared" si="15"/>
        <v>0.2857142857142857</v>
      </c>
      <c r="J32" s="64">
        <f t="shared" si="15"/>
        <v>0.25</v>
      </c>
      <c r="K32" s="22">
        <f t="shared" si="15"/>
        <v>0.22222222222222221</v>
      </c>
      <c r="L32" s="22">
        <f t="shared" si="15"/>
        <v>0.25</v>
      </c>
      <c r="M32" s="22">
        <f t="shared" si="15"/>
        <v>0.22727272727272727</v>
      </c>
      <c r="N32" s="22">
        <f t="shared" si="15"/>
        <v>0.20833333333333334</v>
      </c>
      <c r="O32" s="22">
        <f t="shared" si="15"/>
        <v>0.19230769230769232</v>
      </c>
      <c r="P32" s="63">
        <f t="shared" si="15"/>
        <v>0.17857142857142858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0.66666666666666663</v>
      </c>
      <c r="I34" s="61">
        <f t="shared" si="17"/>
        <v>1.4285714285714284</v>
      </c>
      <c r="J34" s="62">
        <f t="shared" si="17"/>
        <v>2.375</v>
      </c>
      <c r="K34" s="21">
        <f t="shared" si="17"/>
        <v>2.5555555555555558</v>
      </c>
      <c r="L34" s="21">
        <f t="shared" si="17"/>
        <v>2.5499999999999998</v>
      </c>
      <c r="M34" s="21">
        <f t="shared" si="17"/>
        <v>2.3181818181818179</v>
      </c>
      <c r="N34" s="21">
        <f t="shared" si="17"/>
        <v>2.125</v>
      </c>
      <c r="O34" s="21">
        <f t="shared" si="17"/>
        <v>1.9615384615384615</v>
      </c>
      <c r="P34" s="61">
        <f t="shared" si="17"/>
        <v>1.8214285714285714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9</v>
      </c>
      <c r="E37" s="25">
        <f xml:space="preserve"> SUM(C37:D37)</f>
        <v>15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2</v>
      </c>
      <c r="D38" s="25">
        <f xml:space="preserve"> SUM(J7:P7) + SUM(J19:P19)</f>
        <v>6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2</v>
      </c>
      <c r="D39" s="25">
        <f xml:space="preserve"> SUM(J8:P8) + SUM(J20:P20)</f>
        <v>0.5</v>
      </c>
      <c r="E39" s="25">
        <f xml:space="preserve"> SUM(C39:D39)</f>
        <v>2.5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10</v>
      </c>
      <c r="D41" s="21">
        <f xml:space="preserve"> SUM(D37:D40)</f>
        <v>15.5</v>
      </c>
      <c r="E41" s="21">
        <f xml:space="preserve"> SUM(C41:D41)</f>
        <v>25.5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7.5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2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2</v>
      </c>
      <c r="D45" s="25">
        <f xml:space="preserve"> SUM(C39:D39) / D$36</f>
        <v>1.25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10</v>
      </c>
      <c r="D47" s="21">
        <f xml:space="preserve"> SUM(D43:D46)</f>
        <v>12.75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4" zoomScale="115" zoomScaleNormal="115" zoomScalePageLayoutView="115" workbookViewId="0">
      <selection activeCell="P6" sqref="P6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5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5">
        <f t="shared" si="0"/>
        <v>42386</v>
      </c>
      <c r="J4" s="56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5">
        <f t="shared" si="0"/>
        <v>42393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1.5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2</v>
      </c>
      <c r="N6" s="33">
        <v>2</v>
      </c>
      <c r="O6" s="33">
        <v>0</v>
      </c>
      <c r="P6" s="59">
        <v>8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2</v>
      </c>
      <c r="F7" s="34">
        <v>7</v>
      </c>
      <c r="G7" s="34">
        <v>0</v>
      </c>
      <c r="H7" s="34">
        <v>0</v>
      </c>
      <c r="I7" s="34">
        <v>1</v>
      </c>
      <c r="J7" s="60">
        <v>3</v>
      </c>
      <c r="K7" s="33">
        <v>0</v>
      </c>
      <c r="L7" s="33">
        <v>3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4</v>
      </c>
      <c r="F8" s="34">
        <v>2</v>
      </c>
      <c r="G8" s="34">
        <v>0</v>
      </c>
      <c r="H8" s="34">
        <v>4</v>
      </c>
      <c r="I8" s="34">
        <v>2</v>
      </c>
      <c r="J8" s="60">
        <v>0</v>
      </c>
      <c r="K8" s="33">
        <v>2</v>
      </c>
      <c r="L8" s="33">
        <v>0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7.5</v>
      </c>
      <c r="F10" s="21">
        <f t="shared" si="1"/>
        <v>9</v>
      </c>
      <c r="G10" s="21">
        <f t="shared" si="1"/>
        <v>0</v>
      </c>
      <c r="H10" s="21">
        <f t="shared" si="1"/>
        <v>4</v>
      </c>
      <c r="I10" s="61">
        <f t="shared" si="1"/>
        <v>3</v>
      </c>
      <c r="J10" s="62">
        <f t="shared" si="1"/>
        <v>3</v>
      </c>
      <c r="K10" s="21">
        <f t="shared" si="1"/>
        <v>2</v>
      </c>
      <c r="L10" s="21">
        <f t="shared" si="1"/>
        <v>3</v>
      </c>
      <c r="M10" s="21">
        <f t="shared" si="1"/>
        <v>4</v>
      </c>
      <c r="N10" s="21">
        <f t="shared" si="1"/>
        <v>2</v>
      </c>
      <c r="O10" s="21">
        <f t="shared" si="1"/>
        <v>1</v>
      </c>
      <c r="P10" s="61">
        <f t="shared" si="1"/>
        <v>8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1.5</v>
      </c>
      <c r="F12" s="22">
        <f t="shared" si="2"/>
        <v>1.5</v>
      </c>
      <c r="G12" s="22">
        <f t="shared" si="2"/>
        <v>1.5</v>
      </c>
      <c r="H12" s="22">
        <f t="shared" si="2"/>
        <v>1.5</v>
      </c>
      <c r="I12" s="63">
        <f t="shared" si="2"/>
        <v>1.5</v>
      </c>
      <c r="J12" s="64">
        <f t="shared" si="2"/>
        <v>1.5</v>
      </c>
      <c r="K12" s="22">
        <f t="shared" si="2"/>
        <v>1.5</v>
      </c>
      <c r="L12" s="22">
        <f t="shared" si="2"/>
        <v>1.5</v>
      </c>
      <c r="M12" s="22">
        <f t="shared" si="2"/>
        <v>3.5</v>
      </c>
      <c r="N12" s="22">
        <f t="shared" si="2"/>
        <v>5.5</v>
      </c>
      <c r="O12" s="22">
        <f t="shared" si="2"/>
        <v>5.5</v>
      </c>
      <c r="P12" s="63">
        <f t="shared" si="2"/>
        <v>13.5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2</v>
      </c>
      <c r="F13" s="22">
        <f t="shared" si="3"/>
        <v>9</v>
      </c>
      <c r="G13" s="22">
        <f t="shared" si="3"/>
        <v>9</v>
      </c>
      <c r="H13" s="22">
        <f t="shared" si="3"/>
        <v>9</v>
      </c>
      <c r="I13" s="63">
        <f t="shared" si="3"/>
        <v>10</v>
      </c>
      <c r="J13" s="64">
        <f t="shared" si="3"/>
        <v>13</v>
      </c>
      <c r="K13" s="22">
        <f t="shared" si="3"/>
        <v>13</v>
      </c>
      <c r="L13" s="22">
        <f t="shared" si="3"/>
        <v>16</v>
      </c>
      <c r="M13" s="22">
        <f t="shared" si="3"/>
        <v>16</v>
      </c>
      <c r="N13" s="22">
        <f t="shared" si="3"/>
        <v>16</v>
      </c>
      <c r="O13" s="22">
        <f t="shared" si="3"/>
        <v>16</v>
      </c>
      <c r="P13" s="63">
        <f t="shared" si="3"/>
        <v>16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4</v>
      </c>
      <c r="F14" s="22">
        <f t="shared" si="4"/>
        <v>6</v>
      </c>
      <c r="G14" s="22">
        <f t="shared" si="4"/>
        <v>6</v>
      </c>
      <c r="H14" s="22">
        <f t="shared" si="4"/>
        <v>10</v>
      </c>
      <c r="I14" s="63">
        <f t="shared" si="4"/>
        <v>12</v>
      </c>
      <c r="J14" s="64">
        <f t="shared" si="4"/>
        <v>12</v>
      </c>
      <c r="K14" s="22">
        <f t="shared" si="4"/>
        <v>14</v>
      </c>
      <c r="L14" s="22">
        <f t="shared" si="4"/>
        <v>14</v>
      </c>
      <c r="M14" s="22">
        <f t="shared" si="4"/>
        <v>16</v>
      </c>
      <c r="N14" s="22">
        <f t="shared" si="4"/>
        <v>16</v>
      </c>
      <c r="O14" s="22">
        <f t="shared" si="4"/>
        <v>17</v>
      </c>
      <c r="P14" s="63">
        <f t="shared" si="4"/>
        <v>17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7.5</v>
      </c>
      <c r="F16" s="21">
        <f t="shared" si="6"/>
        <v>16.5</v>
      </c>
      <c r="G16" s="21">
        <f t="shared" si="6"/>
        <v>16.5</v>
      </c>
      <c r="H16" s="21">
        <f t="shared" si="6"/>
        <v>20.5</v>
      </c>
      <c r="I16" s="61">
        <f t="shared" si="6"/>
        <v>23.5</v>
      </c>
      <c r="J16" s="62">
        <f t="shared" si="6"/>
        <v>26.5</v>
      </c>
      <c r="K16" s="21">
        <f t="shared" si="6"/>
        <v>28.5</v>
      </c>
      <c r="L16" s="21">
        <f t="shared" si="6"/>
        <v>31.5</v>
      </c>
      <c r="M16" s="21">
        <f t="shared" si="6"/>
        <v>35.5</v>
      </c>
      <c r="N16" s="21">
        <f t="shared" si="6"/>
        <v>37.5</v>
      </c>
      <c r="O16" s="21">
        <f t="shared" si="6"/>
        <v>38.5</v>
      </c>
      <c r="P16" s="61">
        <f t="shared" si="6"/>
        <v>46.5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0.5</v>
      </c>
      <c r="F30" s="22">
        <f t="shared" si="13"/>
        <v>0.375</v>
      </c>
      <c r="G30" s="22">
        <f t="shared" si="13"/>
        <v>0.3</v>
      </c>
      <c r="H30" s="22">
        <f t="shared" si="13"/>
        <v>0.25</v>
      </c>
      <c r="I30" s="63">
        <f t="shared" si="13"/>
        <v>0.21428571428571427</v>
      </c>
      <c r="J30" s="64">
        <f t="shared" si="13"/>
        <v>0.1875</v>
      </c>
      <c r="K30" s="22">
        <f t="shared" si="13"/>
        <v>0.16666666666666666</v>
      </c>
      <c r="L30" s="22">
        <f t="shared" si="13"/>
        <v>0.15</v>
      </c>
      <c r="M30" s="22">
        <f t="shared" si="13"/>
        <v>0.31818181818181818</v>
      </c>
      <c r="N30" s="22">
        <f t="shared" si="13"/>
        <v>0.45833333333333331</v>
      </c>
      <c r="O30" s="22">
        <f t="shared" si="13"/>
        <v>0.42307692307692307</v>
      </c>
      <c r="P30" s="63">
        <f t="shared" si="13"/>
        <v>0.9642857142857143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0.66666666666666663</v>
      </c>
      <c r="F31" s="22">
        <f t="shared" si="14"/>
        <v>2.25</v>
      </c>
      <c r="G31" s="22">
        <f t="shared" si="14"/>
        <v>1.8</v>
      </c>
      <c r="H31" s="22">
        <f t="shared" si="14"/>
        <v>1.5</v>
      </c>
      <c r="I31" s="63">
        <f t="shared" si="14"/>
        <v>1.4285714285714286</v>
      </c>
      <c r="J31" s="64">
        <f t="shared" si="14"/>
        <v>1.625</v>
      </c>
      <c r="K31" s="22">
        <f t="shared" si="14"/>
        <v>1.4444444444444444</v>
      </c>
      <c r="L31" s="22">
        <f t="shared" si="14"/>
        <v>1.6</v>
      </c>
      <c r="M31" s="22">
        <f t="shared" si="14"/>
        <v>1.4545454545454546</v>
      </c>
      <c r="N31" s="22">
        <f t="shared" si="14"/>
        <v>1.3333333333333333</v>
      </c>
      <c r="O31" s="22">
        <f t="shared" si="14"/>
        <v>1.2307692307692308</v>
      </c>
      <c r="P31" s="63">
        <f t="shared" si="14"/>
        <v>1.1428571428571428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1.3333333333333333</v>
      </c>
      <c r="F32" s="22">
        <f t="shared" si="15"/>
        <v>1.5</v>
      </c>
      <c r="G32" s="22">
        <f t="shared" si="15"/>
        <v>1.2</v>
      </c>
      <c r="H32" s="22">
        <f t="shared" si="15"/>
        <v>1.6666666666666667</v>
      </c>
      <c r="I32" s="63">
        <f t="shared" si="15"/>
        <v>1.7142857142857142</v>
      </c>
      <c r="J32" s="64">
        <f t="shared" si="15"/>
        <v>1.5</v>
      </c>
      <c r="K32" s="22">
        <f t="shared" si="15"/>
        <v>1.5555555555555556</v>
      </c>
      <c r="L32" s="22">
        <f t="shared" si="15"/>
        <v>1.4</v>
      </c>
      <c r="M32" s="22">
        <f t="shared" si="15"/>
        <v>1.4545454545454546</v>
      </c>
      <c r="N32" s="22">
        <f t="shared" si="15"/>
        <v>1.3333333333333333</v>
      </c>
      <c r="O32" s="22">
        <f t="shared" si="15"/>
        <v>1.3076923076923077</v>
      </c>
      <c r="P32" s="63">
        <f t="shared" si="15"/>
        <v>1.2142857142857142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2.5</v>
      </c>
      <c r="F34" s="21">
        <f t="shared" si="17"/>
        <v>4.125</v>
      </c>
      <c r="G34" s="21">
        <f t="shared" si="17"/>
        <v>3.3</v>
      </c>
      <c r="H34" s="21">
        <f t="shared" si="17"/>
        <v>3.416666666666667</v>
      </c>
      <c r="I34" s="61">
        <f t="shared" si="17"/>
        <v>3.3571428571428568</v>
      </c>
      <c r="J34" s="62">
        <f t="shared" si="17"/>
        <v>3.3125</v>
      </c>
      <c r="K34" s="21">
        <f t="shared" si="17"/>
        <v>3.166666666666667</v>
      </c>
      <c r="L34" s="21">
        <f t="shared" si="17"/>
        <v>3.15</v>
      </c>
      <c r="M34" s="21">
        <f t="shared" si="17"/>
        <v>3.2272727272727275</v>
      </c>
      <c r="N34" s="21">
        <f t="shared" si="17"/>
        <v>3.125</v>
      </c>
      <c r="O34" s="21">
        <f t="shared" si="17"/>
        <v>2.9615384615384617</v>
      </c>
      <c r="P34" s="61">
        <f t="shared" si="17"/>
        <v>3.3214285714285712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1.5</v>
      </c>
      <c r="D37" s="25">
        <f xml:space="preserve"> SUM(J6:P6) + SUM(J18:P18)</f>
        <v>12</v>
      </c>
      <c r="E37" s="25">
        <f xml:space="preserve"> SUM(C37:D37)</f>
        <v>13.5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10</v>
      </c>
      <c r="D38" s="25">
        <f xml:space="preserve"> SUM(J7:P7) + SUM(J19:P19)</f>
        <v>6</v>
      </c>
      <c r="E38" s="25">
        <f xml:space="preserve"> SUM(C38:D38)</f>
        <v>16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12</v>
      </c>
      <c r="D39" s="25">
        <f xml:space="preserve"> SUM(J8:P8) + SUM(J20:P20)</f>
        <v>5</v>
      </c>
      <c r="E39" s="25">
        <f xml:space="preserve"> SUM(C39:D39)</f>
        <v>17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23.5</v>
      </c>
      <c r="D41" s="21">
        <f xml:space="preserve"> SUM(D37:D40)</f>
        <v>23</v>
      </c>
      <c r="E41" s="21">
        <f xml:space="preserve"> SUM(C41:D41)</f>
        <v>46.5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1.5</v>
      </c>
      <c r="D43" s="25">
        <f xml:space="preserve"> SUM(C37:D37) / D$36</f>
        <v>6.75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10</v>
      </c>
      <c r="D44" s="25">
        <f xml:space="preserve"> SUM(C38:D38) / D$36</f>
        <v>8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12</v>
      </c>
      <c r="D45" s="25">
        <f xml:space="preserve"> SUM(C39:D39) / D$36</f>
        <v>8.5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23.5</v>
      </c>
      <c r="D47" s="21">
        <f xml:space="preserve"> SUM(D43:D46)</f>
        <v>23.25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F45" sqref="F4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6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5">
        <f t="shared" si="0"/>
        <v>42400</v>
      </c>
      <c r="J4" s="56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5">
        <f t="shared" si="0"/>
        <v>42407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5</v>
      </c>
      <c r="K6" s="33">
        <v>3</v>
      </c>
      <c r="L6" s="33">
        <v>5</v>
      </c>
      <c r="M6" s="33">
        <v>0</v>
      </c>
      <c r="N6" s="33">
        <v>7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6</v>
      </c>
      <c r="H7" s="34">
        <v>0</v>
      </c>
      <c r="I7" s="34">
        <v>2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2</v>
      </c>
      <c r="F8" s="34">
        <v>0</v>
      </c>
      <c r="G8" s="34">
        <v>2</v>
      </c>
      <c r="H8" s="34">
        <v>0</v>
      </c>
      <c r="I8" s="34">
        <v>0</v>
      </c>
      <c r="J8" s="60">
        <v>2</v>
      </c>
      <c r="K8" s="33">
        <v>3</v>
      </c>
      <c r="L8" s="33">
        <v>1</v>
      </c>
      <c r="M8" s="33">
        <v>2</v>
      </c>
      <c r="N8" s="33">
        <v>0</v>
      </c>
      <c r="O8" s="33">
        <v>1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2</v>
      </c>
      <c r="F10" s="21">
        <f t="shared" si="1"/>
        <v>0</v>
      </c>
      <c r="G10" s="21">
        <f t="shared" si="1"/>
        <v>8</v>
      </c>
      <c r="H10" s="21">
        <f t="shared" si="1"/>
        <v>0</v>
      </c>
      <c r="I10" s="61">
        <f t="shared" si="1"/>
        <v>2</v>
      </c>
      <c r="J10" s="62">
        <f t="shared" si="1"/>
        <v>7</v>
      </c>
      <c r="K10" s="21">
        <f t="shared" si="1"/>
        <v>6</v>
      </c>
      <c r="L10" s="21">
        <f t="shared" si="1"/>
        <v>6</v>
      </c>
      <c r="M10" s="21">
        <f t="shared" si="1"/>
        <v>2</v>
      </c>
      <c r="N10" s="21">
        <f t="shared" si="1"/>
        <v>7</v>
      </c>
      <c r="O10" s="21">
        <f t="shared" si="1"/>
        <v>1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5</v>
      </c>
      <c r="K12" s="22">
        <f t="shared" si="2"/>
        <v>8</v>
      </c>
      <c r="L12" s="22">
        <f t="shared" si="2"/>
        <v>13</v>
      </c>
      <c r="M12" s="22">
        <f t="shared" si="2"/>
        <v>13</v>
      </c>
      <c r="N12" s="22">
        <f t="shared" si="2"/>
        <v>20</v>
      </c>
      <c r="O12" s="22">
        <f t="shared" si="2"/>
        <v>20</v>
      </c>
      <c r="P12" s="63">
        <f t="shared" si="2"/>
        <v>20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6</v>
      </c>
      <c r="H13" s="22">
        <f t="shared" si="3"/>
        <v>6</v>
      </c>
      <c r="I13" s="63">
        <f t="shared" si="3"/>
        <v>8</v>
      </c>
      <c r="J13" s="64">
        <f t="shared" si="3"/>
        <v>8</v>
      </c>
      <c r="K13" s="22">
        <f t="shared" si="3"/>
        <v>8</v>
      </c>
      <c r="L13" s="22">
        <f t="shared" si="3"/>
        <v>8</v>
      </c>
      <c r="M13" s="22">
        <f t="shared" si="3"/>
        <v>8</v>
      </c>
      <c r="N13" s="22">
        <f t="shared" si="3"/>
        <v>8</v>
      </c>
      <c r="O13" s="22">
        <f t="shared" si="3"/>
        <v>8</v>
      </c>
      <c r="P13" s="63">
        <f t="shared" si="3"/>
        <v>8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2</v>
      </c>
      <c r="F14" s="22">
        <f t="shared" si="4"/>
        <v>2</v>
      </c>
      <c r="G14" s="22">
        <f t="shared" si="4"/>
        <v>4</v>
      </c>
      <c r="H14" s="22">
        <f t="shared" si="4"/>
        <v>4</v>
      </c>
      <c r="I14" s="63">
        <f t="shared" si="4"/>
        <v>4</v>
      </c>
      <c r="J14" s="64">
        <f t="shared" si="4"/>
        <v>6</v>
      </c>
      <c r="K14" s="22">
        <f t="shared" si="4"/>
        <v>9</v>
      </c>
      <c r="L14" s="22">
        <f t="shared" si="4"/>
        <v>10</v>
      </c>
      <c r="M14" s="22">
        <f t="shared" si="4"/>
        <v>12</v>
      </c>
      <c r="N14" s="22">
        <f t="shared" si="4"/>
        <v>12</v>
      </c>
      <c r="O14" s="22">
        <f t="shared" si="4"/>
        <v>13</v>
      </c>
      <c r="P14" s="63">
        <f t="shared" si="4"/>
        <v>13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2</v>
      </c>
      <c r="F16" s="21">
        <f t="shared" si="6"/>
        <v>2</v>
      </c>
      <c r="G16" s="21">
        <f t="shared" si="6"/>
        <v>10</v>
      </c>
      <c r="H16" s="21">
        <f t="shared" si="6"/>
        <v>10</v>
      </c>
      <c r="I16" s="61">
        <f t="shared" si="6"/>
        <v>12</v>
      </c>
      <c r="J16" s="62">
        <f t="shared" si="6"/>
        <v>19</v>
      </c>
      <c r="K16" s="21">
        <f t="shared" si="6"/>
        <v>25</v>
      </c>
      <c r="L16" s="21">
        <f t="shared" si="6"/>
        <v>31</v>
      </c>
      <c r="M16" s="21">
        <f t="shared" si="6"/>
        <v>33</v>
      </c>
      <c r="N16" s="21">
        <f t="shared" si="6"/>
        <v>40</v>
      </c>
      <c r="O16" s="21">
        <f t="shared" si="6"/>
        <v>41</v>
      </c>
      <c r="P16" s="61">
        <f t="shared" si="6"/>
        <v>41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0.625</v>
      </c>
      <c r="K30" s="22">
        <f t="shared" si="13"/>
        <v>0.88888888888888884</v>
      </c>
      <c r="L30" s="22">
        <f t="shared" si="13"/>
        <v>1.3</v>
      </c>
      <c r="M30" s="22">
        <f t="shared" si="13"/>
        <v>1.1818181818181819</v>
      </c>
      <c r="N30" s="22">
        <f t="shared" si="13"/>
        <v>1.6666666666666667</v>
      </c>
      <c r="O30" s="22">
        <f t="shared" si="13"/>
        <v>1.5384615384615385</v>
      </c>
      <c r="P30" s="63">
        <f t="shared" si="13"/>
        <v>1.4285714285714286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1.2</v>
      </c>
      <c r="H31" s="22">
        <f t="shared" si="14"/>
        <v>1</v>
      </c>
      <c r="I31" s="63">
        <f t="shared" si="14"/>
        <v>1.1428571428571428</v>
      </c>
      <c r="J31" s="64">
        <f t="shared" si="14"/>
        <v>1</v>
      </c>
      <c r="K31" s="22">
        <f t="shared" si="14"/>
        <v>0.88888888888888884</v>
      </c>
      <c r="L31" s="22">
        <f t="shared" si="14"/>
        <v>0.8</v>
      </c>
      <c r="M31" s="22">
        <f t="shared" si="14"/>
        <v>0.72727272727272729</v>
      </c>
      <c r="N31" s="22">
        <f t="shared" si="14"/>
        <v>0.66666666666666663</v>
      </c>
      <c r="O31" s="22">
        <f t="shared" si="14"/>
        <v>0.61538461538461542</v>
      </c>
      <c r="P31" s="63">
        <f t="shared" si="14"/>
        <v>0.5714285714285714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0.66666666666666663</v>
      </c>
      <c r="F32" s="22">
        <f t="shared" si="15"/>
        <v>0.5</v>
      </c>
      <c r="G32" s="22">
        <f t="shared" si="15"/>
        <v>0.8</v>
      </c>
      <c r="H32" s="22">
        <f t="shared" si="15"/>
        <v>0.66666666666666663</v>
      </c>
      <c r="I32" s="63">
        <f t="shared" si="15"/>
        <v>0.5714285714285714</v>
      </c>
      <c r="J32" s="64">
        <f t="shared" si="15"/>
        <v>0.75</v>
      </c>
      <c r="K32" s="22">
        <f t="shared" si="15"/>
        <v>1</v>
      </c>
      <c r="L32" s="22">
        <f t="shared" si="15"/>
        <v>1</v>
      </c>
      <c r="M32" s="22">
        <f t="shared" si="15"/>
        <v>1.0909090909090908</v>
      </c>
      <c r="N32" s="22">
        <f t="shared" si="15"/>
        <v>1</v>
      </c>
      <c r="O32" s="22">
        <f t="shared" si="15"/>
        <v>1</v>
      </c>
      <c r="P32" s="63">
        <f t="shared" si="15"/>
        <v>0.9285714285714286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0.66666666666666663</v>
      </c>
      <c r="F34" s="21">
        <f t="shared" si="17"/>
        <v>0.5</v>
      </c>
      <c r="G34" s="21">
        <f t="shared" si="17"/>
        <v>2</v>
      </c>
      <c r="H34" s="21">
        <f t="shared" si="17"/>
        <v>1.6666666666666665</v>
      </c>
      <c r="I34" s="61">
        <f t="shared" si="17"/>
        <v>1.7142857142857142</v>
      </c>
      <c r="J34" s="62">
        <f t="shared" si="17"/>
        <v>2.375</v>
      </c>
      <c r="K34" s="21">
        <f t="shared" si="17"/>
        <v>2.7777777777777777</v>
      </c>
      <c r="L34" s="21">
        <f t="shared" si="17"/>
        <v>3.1</v>
      </c>
      <c r="M34" s="21">
        <f t="shared" si="17"/>
        <v>3</v>
      </c>
      <c r="N34" s="21">
        <f t="shared" si="17"/>
        <v>3.3333333333333335</v>
      </c>
      <c r="O34" s="21">
        <f t="shared" si="17"/>
        <v>3.1538461538461542</v>
      </c>
      <c r="P34" s="61">
        <f t="shared" si="17"/>
        <v>2.9285714285714288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20</v>
      </c>
      <c r="E37" s="25">
        <f xml:space="preserve"> SUM(C37:D37)</f>
        <v>20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8</v>
      </c>
      <c r="D38" s="25">
        <f xml:space="preserve"> SUM(J7:P7) + SUM(J19:P19)</f>
        <v>0</v>
      </c>
      <c r="E38" s="25">
        <f xml:space="preserve"> SUM(C38:D38)</f>
        <v>8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4</v>
      </c>
      <c r="D39" s="25">
        <f xml:space="preserve"> SUM(J8:P8) + SUM(J20:P20)</f>
        <v>9</v>
      </c>
      <c r="E39" s="25">
        <f xml:space="preserve"> SUM(C39:D39)</f>
        <v>13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12</v>
      </c>
      <c r="D41" s="21">
        <f xml:space="preserve"> SUM(D37:D40)</f>
        <v>29</v>
      </c>
      <c r="E41" s="21">
        <f xml:space="preserve"> SUM(C41:D41)</f>
        <v>41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10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8</v>
      </c>
      <c r="D44" s="25">
        <f xml:space="preserve"> SUM(C38:D38) / D$36</f>
        <v>4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4</v>
      </c>
      <c r="D45" s="25">
        <f xml:space="preserve"> SUM(C39:D39) / D$36</f>
        <v>6.5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12</v>
      </c>
      <c r="D47" s="21">
        <f xml:space="preserve"> SUM(D43:D46)</f>
        <v>20.5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abSelected="1" topLeftCell="A16" zoomScale="115" zoomScaleNormal="115" zoomScalePageLayoutView="115" workbookViewId="0">
      <selection activeCell="Q19" sqref="Q19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7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5">
        <f t="shared" si="0"/>
        <v>42414</v>
      </c>
      <c r="J4" s="56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5">
        <f t="shared" si="0"/>
        <v>42421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6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3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4</v>
      </c>
      <c r="K7" s="33">
        <v>7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1</v>
      </c>
      <c r="D8" s="34">
        <v>0</v>
      </c>
      <c r="E8" s="34">
        <v>0</v>
      </c>
      <c r="F8" s="34">
        <v>2</v>
      </c>
      <c r="G8" s="34">
        <v>0</v>
      </c>
      <c r="H8" s="34">
        <v>0</v>
      </c>
      <c r="I8" s="34">
        <v>4</v>
      </c>
      <c r="J8" s="60">
        <v>0</v>
      </c>
      <c r="K8" s="33">
        <v>0</v>
      </c>
      <c r="L8" s="33">
        <v>3</v>
      </c>
      <c r="M8" s="33">
        <v>0</v>
      </c>
      <c r="N8" s="33">
        <v>0</v>
      </c>
      <c r="O8" s="33">
        <v>2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7</v>
      </c>
      <c r="D10" s="21">
        <f t="shared" ref="D10:P10" si="1" xml:space="preserve"> SUM(D6:D9)</f>
        <v>3</v>
      </c>
      <c r="E10" s="21">
        <f t="shared" si="1"/>
        <v>0</v>
      </c>
      <c r="F10" s="21">
        <f t="shared" si="1"/>
        <v>2</v>
      </c>
      <c r="G10" s="21">
        <f t="shared" si="1"/>
        <v>0</v>
      </c>
      <c r="H10" s="21">
        <f t="shared" si="1"/>
        <v>0</v>
      </c>
      <c r="I10" s="61">
        <f t="shared" si="1"/>
        <v>4</v>
      </c>
      <c r="J10" s="62">
        <f t="shared" si="1"/>
        <v>4</v>
      </c>
      <c r="K10" s="21">
        <f t="shared" si="1"/>
        <v>7</v>
      </c>
      <c r="L10" s="21">
        <f t="shared" si="1"/>
        <v>3</v>
      </c>
      <c r="M10" s="21">
        <f t="shared" si="1"/>
        <v>0</v>
      </c>
      <c r="N10" s="21">
        <f t="shared" si="1"/>
        <v>0</v>
      </c>
      <c r="O10" s="21">
        <f t="shared" si="1"/>
        <v>2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6</v>
      </c>
      <c r="D12" s="22">
        <f t="shared" ref="D12:P12" si="2" xml:space="preserve"> C$12 + D$6</f>
        <v>6</v>
      </c>
      <c r="E12" s="22">
        <f t="shared" si="2"/>
        <v>6</v>
      </c>
      <c r="F12" s="22">
        <f t="shared" si="2"/>
        <v>6</v>
      </c>
      <c r="G12" s="22">
        <f t="shared" si="2"/>
        <v>6</v>
      </c>
      <c r="H12" s="22">
        <f t="shared" si="2"/>
        <v>6</v>
      </c>
      <c r="I12" s="63">
        <f t="shared" si="2"/>
        <v>6</v>
      </c>
      <c r="J12" s="64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6</v>
      </c>
      <c r="O12" s="22">
        <f t="shared" si="2"/>
        <v>6</v>
      </c>
      <c r="P12" s="63">
        <f t="shared" si="2"/>
        <v>6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3</v>
      </c>
      <c r="I13" s="63">
        <f t="shared" si="3"/>
        <v>3</v>
      </c>
      <c r="J13" s="64">
        <f t="shared" si="3"/>
        <v>7</v>
      </c>
      <c r="K13" s="22">
        <f t="shared" si="3"/>
        <v>14</v>
      </c>
      <c r="L13" s="22">
        <f t="shared" si="3"/>
        <v>14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3">
        <f t="shared" si="3"/>
        <v>14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1</v>
      </c>
      <c r="D14" s="22">
        <f t="shared" ref="D14:P14" si="4" xml:space="preserve"> C$14 + D$8</f>
        <v>1</v>
      </c>
      <c r="E14" s="22">
        <f t="shared" si="4"/>
        <v>1</v>
      </c>
      <c r="F14" s="22">
        <f t="shared" si="4"/>
        <v>3</v>
      </c>
      <c r="G14" s="22">
        <f t="shared" si="4"/>
        <v>3</v>
      </c>
      <c r="H14" s="22">
        <f t="shared" si="4"/>
        <v>3</v>
      </c>
      <c r="I14" s="63">
        <f t="shared" si="4"/>
        <v>7</v>
      </c>
      <c r="J14" s="64">
        <f t="shared" si="4"/>
        <v>7</v>
      </c>
      <c r="K14" s="22">
        <f t="shared" si="4"/>
        <v>7</v>
      </c>
      <c r="L14" s="22">
        <f t="shared" si="4"/>
        <v>10</v>
      </c>
      <c r="M14" s="22">
        <f t="shared" si="4"/>
        <v>10</v>
      </c>
      <c r="N14" s="22">
        <f t="shared" si="4"/>
        <v>10</v>
      </c>
      <c r="O14" s="22">
        <f t="shared" si="4"/>
        <v>12</v>
      </c>
      <c r="P14" s="63">
        <f t="shared" si="4"/>
        <v>12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7</v>
      </c>
      <c r="D16" s="21">
        <f t="shared" ref="D16:P16" si="6" xml:space="preserve"> SUM(D12:D15)</f>
        <v>10</v>
      </c>
      <c r="E16" s="21">
        <f t="shared" si="6"/>
        <v>10</v>
      </c>
      <c r="F16" s="21">
        <f t="shared" si="6"/>
        <v>12</v>
      </c>
      <c r="G16" s="21">
        <f t="shared" si="6"/>
        <v>12</v>
      </c>
      <c r="H16" s="21">
        <f t="shared" si="6"/>
        <v>12</v>
      </c>
      <c r="I16" s="61">
        <f t="shared" si="6"/>
        <v>16</v>
      </c>
      <c r="J16" s="62">
        <f t="shared" si="6"/>
        <v>20</v>
      </c>
      <c r="K16" s="21">
        <f t="shared" si="6"/>
        <v>27</v>
      </c>
      <c r="L16" s="21">
        <f t="shared" si="6"/>
        <v>30</v>
      </c>
      <c r="M16" s="21">
        <f t="shared" si="6"/>
        <v>30</v>
      </c>
      <c r="N16" s="21">
        <f t="shared" si="6"/>
        <v>30</v>
      </c>
      <c r="O16" s="21">
        <f t="shared" si="6"/>
        <v>32</v>
      </c>
      <c r="P16" s="61">
        <f t="shared" si="6"/>
        <v>32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6</v>
      </c>
      <c r="D30" s="22">
        <f xml:space="preserve"> (D$12 + D$24) / D$5</f>
        <v>3</v>
      </c>
      <c r="E30" s="22">
        <f t="shared" ref="E30:P30" si="13" xml:space="preserve"> (E$12 + E$24) / E$5</f>
        <v>2</v>
      </c>
      <c r="F30" s="22">
        <f t="shared" si="13"/>
        <v>1.5</v>
      </c>
      <c r="G30" s="22">
        <f t="shared" si="13"/>
        <v>1.2</v>
      </c>
      <c r="H30" s="22">
        <f t="shared" si="13"/>
        <v>1</v>
      </c>
      <c r="I30" s="63">
        <f t="shared" si="13"/>
        <v>0.8571428571428571</v>
      </c>
      <c r="J30" s="64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0.5</v>
      </c>
      <c r="O30" s="22">
        <f t="shared" si="13"/>
        <v>0.46153846153846156</v>
      </c>
      <c r="P30" s="63">
        <f t="shared" si="13"/>
        <v>0.42857142857142855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0.5</v>
      </c>
      <c r="I31" s="63">
        <f t="shared" si="14"/>
        <v>0.42857142857142855</v>
      </c>
      <c r="J31" s="64">
        <f t="shared" si="14"/>
        <v>0.875</v>
      </c>
      <c r="K31" s="22">
        <f t="shared" si="14"/>
        <v>1.5555555555555556</v>
      </c>
      <c r="L31" s="22">
        <f t="shared" si="14"/>
        <v>1.4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3">
        <f t="shared" si="14"/>
        <v>1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1</v>
      </c>
      <c r="D32" s="22">
        <f xml:space="preserve"> (D$14 + D$26) / D$5</f>
        <v>0.5</v>
      </c>
      <c r="E32" s="22">
        <f t="shared" ref="E32:P32" si="15" xml:space="preserve"> (E$14 + E$26) / E$5</f>
        <v>0.33333333333333331</v>
      </c>
      <c r="F32" s="22">
        <f t="shared" si="15"/>
        <v>0.75</v>
      </c>
      <c r="G32" s="22">
        <f t="shared" si="15"/>
        <v>0.6</v>
      </c>
      <c r="H32" s="22">
        <f t="shared" si="15"/>
        <v>0.5</v>
      </c>
      <c r="I32" s="63">
        <f t="shared" si="15"/>
        <v>1</v>
      </c>
      <c r="J32" s="64">
        <f t="shared" si="15"/>
        <v>0.875</v>
      </c>
      <c r="K32" s="22">
        <f t="shared" si="15"/>
        <v>0.77777777777777779</v>
      </c>
      <c r="L32" s="22">
        <f t="shared" si="15"/>
        <v>1</v>
      </c>
      <c r="M32" s="22">
        <f t="shared" si="15"/>
        <v>0.90909090909090906</v>
      </c>
      <c r="N32" s="22">
        <f t="shared" si="15"/>
        <v>0.83333333333333337</v>
      </c>
      <c r="O32" s="22">
        <f t="shared" si="15"/>
        <v>0.92307692307692313</v>
      </c>
      <c r="P32" s="63">
        <f t="shared" si="15"/>
        <v>0.8571428571428571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7</v>
      </c>
      <c r="D34" s="21">
        <f t="shared" ref="D34:P34" si="17" xml:space="preserve"> SUM(D30:D33)</f>
        <v>5</v>
      </c>
      <c r="E34" s="21">
        <f t="shared" si="17"/>
        <v>3.3333333333333335</v>
      </c>
      <c r="F34" s="21">
        <f t="shared" si="17"/>
        <v>3</v>
      </c>
      <c r="G34" s="21">
        <f t="shared" si="17"/>
        <v>2.4</v>
      </c>
      <c r="H34" s="21">
        <f t="shared" si="17"/>
        <v>2</v>
      </c>
      <c r="I34" s="61">
        <f t="shared" si="17"/>
        <v>2.2857142857142856</v>
      </c>
      <c r="J34" s="62">
        <f t="shared" si="17"/>
        <v>2.5</v>
      </c>
      <c r="K34" s="21">
        <f t="shared" si="17"/>
        <v>3</v>
      </c>
      <c r="L34" s="21">
        <f t="shared" si="17"/>
        <v>3</v>
      </c>
      <c r="M34" s="21">
        <f t="shared" si="17"/>
        <v>2.7272727272727271</v>
      </c>
      <c r="N34" s="21">
        <f t="shared" si="17"/>
        <v>2.5</v>
      </c>
      <c r="O34" s="21">
        <f t="shared" si="17"/>
        <v>2.4615384615384617</v>
      </c>
      <c r="P34" s="61">
        <f t="shared" si="17"/>
        <v>2.2857142857142856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6</v>
      </c>
      <c r="D37" s="25">
        <f xml:space="preserve"> SUM(J6:P6) + SUM(J18:P18)</f>
        <v>0</v>
      </c>
      <c r="E37" s="25">
        <f xml:space="preserve"> SUM(C37:D37)</f>
        <v>6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3</v>
      </c>
      <c r="D38" s="25">
        <f xml:space="preserve"> SUM(J7:P7) + SUM(J19:P19)</f>
        <v>11</v>
      </c>
      <c r="E38" s="25">
        <f xml:space="preserve"> SUM(C38:D38)</f>
        <v>14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7</v>
      </c>
      <c r="D39" s="25">
        <f xml:space="preserve"> SUM(J8:P8) + SUM(J20:P20)</f>
        <v>5</v>
      </c>
      <c r="E39" s="25">
        <f xml:space="preserve"> SUM(C39:D39)</f>
        <v>12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16</v>
      </c>
      <c r="D41" s="21">
        <f xml:space="preserve"> SUM(D37:D40)</f>
        <v>16</v>
      </c>
      <c r="E41" s="21">
        <f xml:space="preserve"> SUM(C41:D41)</f>
        <v>32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6</v>
      </c>
      <c r="D43" s="25">
        <f xml:space="preserve"> SUM(C37:D37) / D$36</f>
        <v>3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3</v>
      </c>
      <c r="D44" s="25">
        <f xml:space="preserve"> SUM(C38:D38) / D$36</f>
        <v>7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7</v>
      </c>
      <c r="D45" s="25">
        <f xml:space="preserve"> SUM(C39:D39) / D$36</f>
        <v>6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16</v>
      </c>
      <c r="D47" s="21">
        <f xml:space="preserve"> SUM(D43:D46)</f>
        <v>16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8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5">
        <f t="shared" si="0"/>
        <v>42428</v>
      </c>
      <c r="J4" s="56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5">
        <f t="shared" si="0"/>
        <v>42435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zoomScalePageLayoutView="115" workbookViewId="0">
      <selection activeCell="C4" sqref="C4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9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+ 63</f>
        <v>42443</v>
      </c>
      <c r="D4" s="15">
        <f xml:space="preserve"> C$4 + 1</f>
        <v>42444</v>
      </c>
      <c r="E4" s="15">
        <f t="shared" ref="E4:P4" si="0" xml:space="preserve"> D$4 + 1</f>
        <v>42445</v>
      </c>
      <c r="F4" s="15">
        <f t="shared" si="0"/>
        <v>42446</v>
      </c>
      <c r="G4" s="15">
        <f t="shared" si="0"/>
        <v>42447</v>
      </c>
      <c r="H4" s="15">
        <f t="shared" si="0"/>
        <v>42448</v>
      </c>
      <c r="I4" s="55">
        <f t="shared" si="0"/>
        <v>42449</v>
      </c>
      <c r="J4" s="56">
        <f t="shared" si="0"/>
        <v>42450</v>
      </c>
      <c r="K4" s="15">
        <f t="shared" si="0"/>
        <v>42451</v>
      </c>
      <c r="L4" s="15">
        <f t="shared" si="0"/>
        <v>42452</v>
      </c>
      <c r="M4" s="15">
        <f t="shared" si="0"/>
        <v>42453</v>
      </c>
      <c r="N4" s="15">
        <f t="shared" si="0"/>
        <v>42454</v>
      </c>
      <c r="O4" s="15">
        <f t="shared" si="0"/>
        <v>42455</v>
      </c>
      <c r="P4" s="55">
        <f t="shared" si="0"/>
        <v>42456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A10" zoomScale="115" zoomScaleNormal="115" zoomScalePageLayoutView="115" workbookViewId="0">
      <selection activeCell="C5" sqref="C5"/>
    </sheetView>
  </sheetViews>
  <sheetFormatPr defaultColWidth="8.85546875"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29</v>
      </c>
    </row>
    <row r="2" spans="1:16" ht="18.75" x14ac:dyDescent="0.3">
      <c r="B2" s="26" t="str">
        <f>SheetName</f>
        <v>Sprint 10</v>
      </c>
      <c r="C2" s="27" t="s">
        <v>38</v>
      </c>
    </row>
    <row r="3" spans="1:16" x14ac:dyDescent="0.25">
      <c r="B3" s="31" t="s">
        <v>36</v>
      </c>
      <c r="C3" s="85" t="s">
        <v>32</v>
      </c>
      <c r="D3" s="85"/>
      <c r="E3" s="85"/>
      <c r="F3" s="85"/>
      <c r="G3" s="85"/>
      <c r="H3" s="85"/>
      <c r="I3" s="85"/>
      <c r="J3" s="83" t="s">
        <v>33</v>
      </c>
      <c r="K3" s="85"/>
      <c r="L3" s="85"/>
      <c r="M3" s="85"/>
      <c r="N3" s="85"/>
      <c r="O3" s="85"/>
      <c r="P3" s="81"/>
    </row>
    <row r="4" spans="1:16" x14ac:dyDescent="0.25">
      <c r="B4" s="5" t="s">
        <v>6</v>
      </c>
      <c r="C4" s="15">
        <f xml:space="preserve"> Setup!$B$4 + 77</f>
        <v>42457</v>
      </c>
      <c r="D4" s="15">
        <f xml:space="preserve"> C$4 + 1</f>
        <v>42458</v>
      </c>
      <c r="E4" s="15">
        <f t="shared" ref="E4:P4" si="0" xml:space="preserve"> D$4 + 1</f>
        <v>42459</v>
      </c>
      <c r="F4" s="15">
        <f t="shared" si="0"/>
        <v>42460</v>
      </c>
      <c r="G4" s="15">
        <f t="shared" si="0"/>
        <v>42461</v>
      </c>
      <c r="H4" s="15">
        <f t="shared" si="0"/>
        <v>42462</v>
      </c>
      <c r="I4" s="55">
        <f t="shared" si="0"/>
        <v>42463</v>
      </c>
      <c r="J4" s="56">
        <f t="shared" si="0"/>
        <v>42464</v>
      </c>
      <c r="K4" s="15">
        <f t="shared" si="0"/>
        <v>42465</v>
      </c>
      <c r="L4" s="15">
        <f t="shared" si="0"/>
        <v>42466</v>
      </c>
      <c r="M4" s="15">
        <f t="shared" si="0"/>
        <v>42467</v>
      </c>
      <c r="N4" s="15">
        <f t="shared" si="0"/>
        <v>42468</v>
      </c>
      <c r="O4" s="15">
        <f t="shared" si="0"/>
        <v>42469</v>
      </c>
      <c r="P4" s="55">
        <f t="shared" si="0"/>
        <v>42470</v>
      </c>
    </row>
    <row r="5" spans="1:16" ht="15.75" thickBot="1" x14ac:dyDescent="0.3">
      <c r="B5" s="5" t="s">
        <v>27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7">
        <v>7</v>
      </c>
      <c r="J5" s="58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7">
        <v>14</v>
      </c>
    </row>
    <row r="6" spans="1:16" ht="15.75" customHeight="1" thickBot="1" x14ac:dyDescent="0.3">
      <c r="A6" s="86" t="s">
        <v>40</v>
      </c>
      <c r="B6" s="17" t="str">
        <f xml:space="preserve"> CONCATENATE(Setup!$B$7, ", ", LEFT(Setup!$C$7,2))</f>
        <v>Nathan, NR</v>
      </c>
      <c r="C6" s="34">
        <v>0</v>
      </c>
      <c r="D6" s="34">
        <v>0</v>
      </c>
      <c r="E6" s="34">
        <v>0</v>
      </c>
      <c r="F6" s="34">
        <v>0</v>
      </c>
      <c r="G6" s="34">
        <v>0</v>
      </c>
      <c r="H6" s="34">
        <v>0</v>
      </c>
      <c r="I6" s="34">
        <v>0</v>
      </c>
      <c r="J6" s="60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59">
        <v>0</v>
      </c>
    </row>
    <row r="7" spans="1:16" ht="15.75" thickBot="1" x14ac:dyDescent="0.3">
      <c r="A7" s="86"/>
      <c r="B7" s="17" t="str">
        <f xml:space="preserve"> CONCATENATE(Setup!$B$8, ", ", LEFT(Setup!$C$8,2))</f>
        <v>Spencer, SS</v>
      </c>
      <c r="C7" s="34">
        <v>0</v>
      </c>
      <c r="D7" s="34">
        <v>0</v>
      </c>
      <c r="E7" s="34">
        <v>0</v>
      </c>
      <c r="F7" s="34">
        <v>0</v>
      </c>
      <c r="G7" s="34">
        <v>0</v>
      </c>
      <c r="H7" s="34">
        <v>0</v>
      </c>
      <c r="I7" s="34">
        <v>0</v>
      </c>
      <c r="J7" s="60">
        <v>0</v>
      </c>
      <c r="K7" s="33">
        <v>0</v>
      </c>
      <c r="L7" s="33">
        <v>0</v>
      </c>
      <c r="M7" s="33">
        <v>0</v>
      </c>
      <c r="N7" s="33">
        <v>0</v>
      </c>
      <c r="O7" s="33">
        <v>0</v>
      </c>
      <c r="P7" s="59">
        <v>0</v>
      </c>
    </row>
    <row r="8" spans="1:16" ht="15.75" thickBot="1" x14ac:dyDescent="0.3">
      <c r="A8" s="86"/>
      <c r="B8" s="17" t="str">
        <f xml:space="preserve"> CONCATENATE(Setup!$B$9, ", ", LEFT(Setup!$C$9,2))</f>
        <v>Dylan, DW</v>
      </c>
      <c r="C8" s="34">
        <v>0</v>
      </c>
      <c r="D8" s="34">
        <v>0</v>
      </c>
      <c r="E8" s="34">
        <v>0</v>
      </c>
      <c r="F8" s="34">
        <v>0</v>
      </c>
      <c r="G8" s="34">
        <v>0</v>
      </c>
      <c r="H8" s="34">
        <v>0</v>
      </c>
      <c r="I8" s="34">
        <v>0</v>
      </c>
      <c r="J8" s="60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59">
        <v>0</v>
      </c>
    </row>
    <row r="9" spans="1:16" ht="15.75" thickBot="1" x14ac:dyDescent="0.3">
      <c r="A9" s="86"/>
      <c r="B9" s="17" t="e">
        <f xml:space="preserve"> CONCATENATE(Setup!#REF!, ", ", LEFT(Setup!#REF!,2))</f>
        <v>#REF!</v>
      </c>
      <c r="C9" s="34">
        <v>0</v>
      </c>
      <c r="D9" s="34">
        <v>0</v>
      </c>
      <c r="E9" s="34">
        <v>0</v>
      </c>
      <c r="F9" s="34">
        <v>0</v>
      </c>
      <c r="G9" s="34">
        <v>0</v>
      </c>
      <c r="H9" s="34">
        <v>0</v>
      </c>
      <c r="I9" s="34">
        <v>0</v>
      </c>
      <c r="J9" s="60">
        <v>0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59">
        <v>0</v>
      </c>
    </row>
    <row r="10" spans="1:16" ht="16.5" thickBot="1" x14ac:dyDescent="0.3">
      <c r="A10" s="86"/>
      <c r="B10" s="18" t="s">
        <v>30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1">
        <f t="shared" si="1"/>
        <v>0</v>
      </c>
      <c r="J10" s="62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1">
        <f t="shared" si="1"/>
        <v>0</v>
      </c>
    </row>
    <row r="11" spans="1:16" ht="16.5" thickBot="1" x14ac:dyDescent="0.3">
      <c r="A11" s="54"/>
      <c r="B11" s="20"/>
      <c r="C11" s="21"/>
      <c r="D11" s="21"/>
      <c r="E11" s="21"/>
      <c r="F11" s="21"/>
      <c r="G11" s="21"/>
      <c r="H11" s="21"/>
      <c r="I11" s="61"/>
      <c r="J11" s="62"/>
      <c r="K11" s="21"/>
      <c r="L11" s="21"/>
      <c r="M11" s="21"/>
      <c r="N11" s="21"/>
      <c r="O11" s="21"/>
      <c r="P11" s="61"/>
    </row>
    <row r="12" spans="1:16" ht="15.75" thickBot="1" x14ac:dyDescent="0.3">
      <c r="A12" s="86" t="s">
        <v>41</v>
      </c>
      <c r="B12" s="17" t="str">
        <f xml:space="preserve"> CONCATENATE(Setup!$B$7, ", ", LEFT(Setup!$C$7,2))</f>
        <v>Nathan, NR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3">
        <f t="shared" si="2"/>
        <v>0</v>
      </c>
      <c r="J12" s="64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3">
        <f t="shared" si="2"/>
        <v>0</v>
      </c>
    </row>
    <row r="13" spans="1:16" ht="15.75" thickBot="1" x14ac:dyDescent="0.3">
      <c r="A13" s="86"/>
      <c r="B13" s="17" t="str">
        <f xml:space="preserve"> CONCATENATE(Setup!$B$8, ", ", LEFT(Setup!$C$8,2))</f>
        <v>Spencer, SS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3">
        <f t="shared" si="3"/>
        <v>0</v>
      </c>
      <c r="J13" s="64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3">
        <f t="shared" si="3"/>
        <v>0</v>
      </c>
    </row>
    <row r="14" spans="1:16" ht="15.75" thickBot="1" x14ac:dyDescent="0.3">
      <c r="A14" s="86"/>
      <c r="B14" s="17" t="str">
        <f xml:space="preserve"> CONCATENATE(Setup!$B$9, ", ", LEFT(Setup!$C$9,2))</f>
        <v>Dylan, DW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3">
        <f t="shared" si="4"/>
        <v>0</v>
      </c>
      <c r="J14" s="64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3">
        <f t="shared" si="4"/>
        <v>0</v>
      </c>
    </row>
    <row r="15" spans="1:16" ht="15.75" thickBot="1" x14ac:dyDescent="0.3">
      <c r="A15" s="86"/>
      <c r="B15" s="17" t="e">
        <f xml:space="preserve"> CONCATENATE(Setup!#REF!, ", ", LEFT(Setup!#REF!,2))</f>
        <v>#REF!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3">
        <f t="shared" si="5"/>
        <v>0</v>
      </c>
      <c r="J15" s="64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3">
        <f t="shared" si="5"/>
        <v>0</v>
      </c>
    </row>
    <row r="16" spans="1:16" ht="16.5" thickBot="1" x14ac:dyDescent="0.3">
      <c r="A16" s="86"/>
      <c r="B16" s="18" t="s">
        <v>30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1">
        <f t="shared" si="6"/>
        <v>0</v>
      </c>
      <c r="J16" s="62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1">
        <f t="shared" si="6"/>
        <v>0</v>
      </c>
    </row>
    <row r="17" spans="1:16" ht="16.5" thickBot="1" x14ac:dyDescent="0.3">
      <c r="A17" s="54"/>
      <c r="B17" s="20"/>
      <c r="C17" s="21"/>
      <c r="D17" s="21"/>
      <c r="E17" s="21"/>
      <c r="F17" s="21"/>
      <c r="G17" s="21"/>
      <c r="H17" s="21"/>
      <c r="I17" s="61"/>
      <c r="J17" s="62"/>
      <c r="K17" s="21"/>
      <c r="L17" s="21"/>
      <c r="M17" s="21"/>
      <c r="N17" s="21"/>
      <c r="O17" s="21"/>
      <c r="P17" s="61"/>
    </row>
    <row r="18" spans="1:16" ht="15.75" customHeight="1" thickBot="1" x14ac:dyDescent="0.3">
      <c r="A18" s="84" t="s">
        <v>43</v>
      </c>
      <c r="B18" s="17" t="str">
        <f xml:space="preserve"> CONCATENATE(Setup!$B$7, ", ", LEFT(Setup!$C$7,2))</f>
        <v>Nathan, NR</v>
      </c>
      <c r="C18" s="34">
        <v>0</v>
      </c>
      <c r="D18" s="34">
        <v>0</v>
      </c>
      <c r="E18" s="34">
        <v>0</v>
      </c>
      <c r="F18" s="34">
        <v>0</v>
      </c>
      <c r="G18" s="34">
        <v>0</v>
      </c>
      <c r="H18" s="34">
        <v>0</v>
      </c>
      <c r="I18" s="34">
        <v>0</v>
      </c>
      <c r="J18" s="60">
        <v>0</v>
      </c>
      <c r="K18" s="33">
        <v>0</v>
      </c>
      <c r="L18" s="33">
        <v>0</v>
      </c>
      <c r="M18" s="33">
        <v>0</v>
      </c>
      <c r="N18" s="33">
        <v>0</v>
      </c>
      <c r="O18" s="33">
        <v>0</v>
      </c>
      <c r="P18" s="59">
        <v>0</v>
      </c>
    </row>
    <row r="19" spans="1:16" ht="15.75" thickBot="1" x14ac:dyDescent="0.3">
      <c r="A19" s="84"/>
      <c r="B19" s="17" t="str">
        <f xml:space="preserve"> CONCATENATE(Setup!$B$8, ", ", LEFT(Setup!$C$8,2))</f>
        <v>Spencer, SS</v>
      </c>
      <c r="C19" s="34">
        <v>0</v>
      </c>
      <c r="D19" s="34">
        <v>0</v>
      </c>
      <c r="E19" s="34">
        <v>0</v>
      </c>
      <c r="F19" s="34">
        <v>0</v>
      </c>
      <c r="G19" s="34">
        <v>0</v>
      </c>
      <c r="H19" s="34">
        <v>0</v>
      </c>
      <c r="I19" s="34">
        <v>0</v>
      </c>
      <c r="J19" s="60">
        <v>0</v>
      </c>
      <c r="K19" s="33">
        <v>0</v>
      </c>
      <c r="L19" s="33">
        <v>0</v>
      </c>
      <c r="M19" s="33">
        <v>0</v>
      </c>
      <c r="N19" s="33">
        <v>0</v>
      </c>
      <c r="O19" s="33">
        <v>0</v>
      </c>
      <c r="P19" s="59">
        <v>0</v>
      </c>
    </row>
    <row r="20" spans="1:16" ht="15.75" thickBot="1" x14ac:dyDescent="0.3">
      <c r="A20" s="84"/>
      <c r="B20" s="17" t="str">
        <f xml:space="preserve"> CONCATENATE(Setup!$B$9, ", ", LEFT(Setup!$C$9,2))</f>
        <v>Dylan, DW</v>
      </c>
      <c r="C20" s="34">
        <v>0</v>
      </c>
      <c r="D20" s="34">
        <v>0</v>
      </c>
      <c r="E20" s="34">
        <v>0</v>
      </c>
      <c r="F20" s="34">
        <v>0</v>
      </c>
      <c r="G20" s="34">
        <v>0</v>
      </c>
      <c r="H20" s="34">
        <v>0</v>
      </c>
      <c r="I20" s="34">
        <v>0</v>
      </c>
      <c r="J20" s="60">
        <v>0</v>
      </c>
      <c r="K20" s="33">
        <v>0</v>
      </c>
      <c r="L20" s="33">
        <v>0</v>
      </c>
      <c r="M20" s="33">
        <v>0</v>
      </c>
      <c r="N20" s="33">
        <v>0</v>
      </c>
      <c r="O20" s="33">
        <v>0</v>
      </c>
      <c r="P20" s="59">
        <v>0</v>
      </c>
    </row>
    <row r="21" spans="1:16" ht="15.75" thickBot="1" x14ac:dyDescent="0.3">
      <c r="A21" s="84"/>
      <c r="B21" s="17" t="e">
        <f xml:space="preserve"> CONCATENATE(Setup!#REF!, ", ", LEFT(Setup!#REF!,2))</f>
        <v>#REF!</v>
      </c>
      <c r="C21" s="34">
        <v>0</v>
      </c>
      <c r="D21" s="34">
        <v>0</v>
      </c>
      <c r="E21" s="34">
        <v>0</v>
      </c>
      <c r="F21" s="34">
        <v>0</v>
      </c>
      <c r="G21" s="34">
        <v>0</v>
      </c>
      <c r="H21" s="34">
        <v>0</v>
      </c>
      <c r="I21" s="34">
        <v>0</v>
      </c>
      <c r="J21" s="60">
        <v>0</v>
      </c>
      <c r="K21" s="33">
        <v>0</v>
      </c>
      <c r="L21" s="33">
        <v>0</v>
      </c>
      <c r="M21" s="33">
        <v>0</v>
      </c>
      <c r="N21" s="33">
        <v>0</v>
      </c>
      <c r="O21" s="33">
        <v>0</v>
      </c>
      <c r="P21" s="59">
        <v>0</v>
      </c>
    </row>
    <row r="22" spans="1:16" ht="16.5" thickBot="1" x14ac:dyDescent="0.3">
      <c r="A22" s="84"/>
      <c r="B22" s="18" t="s">
        <v>30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1">
        <f t="shared" si="7"/>
        <v>0</v>
      </c>
      <c r="J22" s="62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1">
        <f t="shared" si="7"/>
        <v>0</v>
      </c>
    </row>
    <row r="23" spans="1:16" ht="16.5" thickBot="1" x14ac:dyDescent="0.3">
      <c r="A23" s="54"/>
      <c r="B23" s="20"/>
      <c r="C23" s="21"/>
      <c r="D23" s="21"/>
      <c r="E23" s="21"/>
      <c r="F23" s="21"/>
      <c r="G23" s="21"/>
      <c r="H23" s="21"/>
      <c r="I23" s="61"/>
      <c r="J23" s="62"/>
      <c r="K23" s="21"/>
      <c r="L23" s="21"/>
      <c r="M23" s="21"/>
      <c r="N23" s="21"/>
      <c r="O23" s="21"/>
      <c r="P23" s="61"/>
    </row>
    <row r="24" spans="1:16" ht="15.75" thickBot="1" x14ac:dyDescent="0.3">
      <c r="A24" s="84" t="s">
        <v>42</v>
      </c>
      <c r="B24" s="17" t="str">
        <f xml:space="preserve"> CONCATENATE(Setup!$B$7, ", ", LEFT(Setup!$C$7,2))</f>
        <v>Nathan, NR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3">
        <f t="shared" si="8"/>
        <v>0</v>
      </c>
      <c r="J24" s="64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3">
        <f t="shared" si="8"/>
        <v>0</v>
      </c>
    </row>
    <row r="25" spans="1:16" ht="15.75" thickBot="1" x14ac:dyDescent="0.3">
      <c r="A25" s="84"/>
      <c r="B25" s="17" t="str">
        <f xml:space="preserve"> CONCATENATE(Setup!$B$8, ", ", LEFT(Setup!$C$8,2))</f>
        <v>Spencer, SS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3">
        <f t="shared" si="9"/>
        <v>0</v>
      </c>
      <c r="J25" s="64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3">
        <f t="shared" si="9"/>
        <v>0</v>
      </c>
    </row>
    <row r="26" spans="1:16" ht="15.75" thickBot="1" x14ac:dyDescent="0.3">
      <c r="A26" s="84"/>
      <c r="B26" s="17" t="str">
        <f xml:space="preserve"> CONCATENATE(Setup!$B$9, ", ", LEFT(Setup!$C$9,2))</f>
        <v>Dylan, DW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3">
        <f t="shared" si="10"/>
        <v>0</v>
      </c>
      <c r="J26" s="64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3">
        <f t="shared" si="10"/>
        <v>0</v>
      </c>
    </row>
    <row r="27" spans="1:16" ht="15.75" thickBot="1" x14ac:dyDescent="0.3">
      <c r="A27" s="84"/>
      <c r="B27" s="17" t="e">
        <f xml:space="preserve"> CONCATENATE(Setup!#REF!, ", ", LEFT(Setup!#REF!,2))</f>
        <v>#REF!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3">
        <f t="shared" si="11"/>
        <v>0</v>
      </c>
      <c r="J27" s="64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3">
        <f t="shared" si="11"/>
        <v>0</v>
      </c>
    </row>
    <row r="28" spans="1:16" ht="16.5" thickBot="1" x14ac:dyDescent="0.3">
      <c r="A28" s="84"/>
      <c r="B28" s="18" t="s">
        <v>30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1">
        <f t="shared" si="12"/>
        <v>0</v>
      </c>
      <c r="J28" s="62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1">
        <f t="shared" si="12"/>
        <v>0</v>
      </c>
    </row>
    <row r="29" spans="1:16" ht="16.5" thickBot="1" x14ac:dyDescent="0.3">
      <c r="A29" s="54"/>
      <c r="B29" s="20"/>
      <c r="C29" s="21"/>
      <c r="D29" s="21"/>
      <c r="E29" s="21"/>
      <c r="F29" s="21"/>
      <c r="G29" s="21"/>
      <c r="H29" s="21"/>
      <c r="I29" s="61"/>
      <c r="J29" s="62"/>
      <c r="K29" s="21"/>
      <c r="L29" s="21"/>
      <c r="M29" s="21"/>
      <c r="N29" s="21"/>
      <c r="O29" s="21"/>
      <c r="P29" s="61"/>
    </row>
    <row r="30" spans="1:16" ht="15.75" thickBot="1" x14ac:dyDescent="0.3">
      <c r="A30" s="80" t="s">
        <v>5</v>
      </c>
      <c r="B30" s="17" t="str">
        <f xml:space="preserve"> CONCATENATE(Setup!$B$7, ", ", LEFT(Setup!$C$7,2))</f>
        <v>Nathan, NR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3">
        <f t="shared" si="13"/>
        <v>0</v>
      </c>
      <c r="J30" s="64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3">
        <f t="shared" si="13"/>
        <v>0</v>
      </c>
    </row>
    <row r="31" spans="1:16" ht="15.75" thickBot="1" x14ac:dyDescent="0.3">
      <c r="A31" s="80"/>
      <c r="B31" s="17" t="str">
        <f xml:space="preserve"> CONCATENATE(Setup!$B$8, ", ", LEFT(Setup!$C$8,2))</f>
        <v>Spencer, SS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3">
        <f t="shared" si="14"/>
        <v>0</v>
      </c>
      <c r="J31" s="64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3">
        <f t="shared" si="14"/>
        <v>0</v>
      </c>
    </row>
    <row r="32" spans="1:16" ht="15.75" thickBot="1" x14ac:dyDescent="0.3">
      <c r="A32" s="80"/>
      <c r="B32" s="17" t="str">
        <f xml:space="preserve"> CONCATENATE(Setup!$B$9, ", ", LEFT(Setup!$C$9,2))</f>
        <v>Dylan, DW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3">
        <f t="shared" si="15"/>
        <v>0</v>
      </c>
      <c r="J32" s="64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3">
        <f t="shared" si="15"/>
        <v>0</v>
      </c>
    </row>
    <row r="33" spans="1:16" ht="15.75" thickBot="1" x14ac:dyDescent="0.3">
      <c r="A33" s="80"/>
      <c r="B33" s="17" t="e">
        <f xml:space="preserve"> CONCATENATE(Setup!#REF!, ", ", LEFT(Setup!#REF!,2))</f>
        <v>#REF!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3">
        <f t="shared" si="16"/>
        <v>0</v>
      </c>
      <c r="J33" s="64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3">
        <f t="shared" si="16"/>
        <v>0</v>
      </c>
    </row>
    <row r="34" spans="1:16" ht="16.5" thickBot="1" x14ac:dyDescent="0.3">
      <c r="A34" s="80"/>
      <c r="B34" s="18" t="s">
        <v>30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1">
        <f t="shared" si="17"/>
        <v>0</v>
      </c>
      <c r="J34" s="62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1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31</v>
      </c>
      <c r="C36" s="24">
        <v>1</v>
      </c>
      <c r="D36" s="24">
        <v>2</v>
      </c>
      <c r="E36" s="24" t="s">
        <v>35</v>
      </c>
    </row>
    <row r="37" spans="1:16" ht="15.75" thickBot="1" x14ac:dyDescent="0.3">
      <c r="A37" s="80" t="s">
        <v>7</v>
      </c>
      <c r="B37" s="17" t="str">
        <f xml:space="preserve"> CONCATENATE(Setup!$B$7, ", ", LEFT(Setup!$C$7,2))</f>
        <v>Nathan, NR</v>
      </c>
      <c r="C37" s="25">
        <f xml:space="preserve"> SUM(C6:I6) + SUM(C18:I18)</f>
        <v>0</v>
      </c>
      <c r="D37" s="25">
        <f xml:space="preserve"> SUM(J6:P6) + SUM(J18:P18)</f>
        <v>0</v>
      </c>
      <c r="E37" s="25">
        <f xml:space="preserve"> SUM(C37:D37)</f>
        <v>0</v>
      </c>
    </row>
    <row r="38" spans="1:16" ht="15.75" thickBot="1" x14ac:dyDescent="0.3">
      <c r="A38" s="80"/>
      <c r="B38" s="17" t="str">
        <f xml:space="preserve"> CONCATENATE(Setup!$B$8, ", ", LEFT(Setup!$C$8,2))</f>
        <v>Spencer, SS</v>
      </c>
      <c r="C38" s="25">
        <f xml:space="preserve"> SUM(C7:I7) + SUM(C19:I19)</f>
        <v>0</v>
      </c>
      <c r="D38" s="25">
        <f xml:space="preserve"> SUM(J7:P7) + SUM(J19:P19)</f>
        <v>0</v>
      </c>
      <c r="E38" s="25">
        <f xml:space="preserve"> SUM(C38:D38)</f>
        <v>0</v>
      </c>
    </row>
    <row r="39" spans="1:16" ht="15.75" thickBot="1" x14ac:dyDescent="0.3">
      <c r="A39" s="80"/>
      <c r="B39" s="17" t="str">
        <f xml:space="preserve"> CONCATENATE(Setup!$B$9, ", ", LEFT(Setup!$C$9,2))</f>
        <v>Dylan, DW</v>
      </c>
      <c r="C39" s="25">
        <f xml:space="preserve"> SUM(C8:I8) + SUM(C20:I20)</f>
        <v>0</v>
      </c>
      <c r="D39" s="25">
        <f xml:space="preserve"> SUM(J8:P8) + SUM(J20:P20)</f>
        <v>0</v>
      </c>
      <c r="E39" s="25">
        <f xml:space="preserve"> SUM(C39:D39)</f>
        <v>0</v>
      </c>
    </row>
    <row r="40" spans="1:16" ht="15.75" thickBot="1" x14ac:dyDescent="0.3">
      <c r="A40" s="80"/>
      <c r="B40" s="17" t="e">
        <f xml:space="preserve"> CONCATENATE(Setup!#REF!, ", ", LEFT(Setup!#REF!,2))</f>
        <v>#REF!</v>
      </c>
      <c r="C40" s="25">
        <f xml:space="preserve"> SUM(C9:I9) + SUM(C21:I21)</f>
        <v>0</v>
      </c>
      <c r="D40" s="25">
        <f xml:space="preserve"> SUM(J9:P9) + SUM(J21:P21)</f>
        <v>0</v>
      </c>
      <c r="E40" s="25">
        <f xml:space="preserve"> SUM(C40:D40)</f>
        <v>0</v>
      </c>
    </row>
    <row r="41" spans="1:16" ht="16.5" thickBot="1" x14ac:dyDescent="0.3">
      <c r="A41" s="80"/>
      <c r="B41" s="18" t="s">
        <v>30</v>
      </c>
      <c r="C41" s="21">
        <f xml:space="preserve"> SUM(C37:C40)</f>
        <v>0</v>
      </c>
      <c r="D41" s="21">
        <f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80" t="s">
        <v>8</v>
      </c>
      <c r="B43" s="17" t="str">
        <f xml:space="preserve"> CONCATENATE(Setup!$B$7, ", ", LEFT(Setup!$C$7,2))</f>
        <v>Nathan, NR</v>
      </c>
      <c r="C43" s="25">
        <f xml:space="preserve"> C37 / C$36</f>
        <v>0</v>
      </c>
      <c r="D43" s="25">
        <f xml:space="preserve"> SUM(C37:D37) / D$36</f>
        <v>0</v>
      </c>
    </row>
    <row r="44" spans="1:16" ht="15.75" thickBot="1" x14ac:dyDescent="0.3">
      <c r="A44" s="80"/>
      <c r="B44" s="17" t="str">
        <f xml:space="preserve"> CONCATENATE(Setup!$B$8, ", ", LEFT(Setup!$C$8,2))</f>
        <v>Spencer, SS</v>
      </c>
      <c r="C44" s="25">
        <f xml:space="preserve"> C38 / C$36</f>
        <v>0</v>
      </c>
      <c r="D44" s="25">
        <f xml:space="preserve"> SUM(C38:D38) / D$36</f>
        <v>0</v>
      </c>
    </row>
    <row r="45" spans="1:16" ht="15.75" thickBot="1" x14ac:dyDescent="0.3">
      <c r="A45" s="80"/>
      <c r="B45" s="17" t="str">
        <f xml:space="preserve"> CONCATENATE(Setup!$B$9, ", ", LEFT(Setup!$C$9,2))</f>
        <v>Dylan, DW</v>
      </c>
      <c r="C45" s="25">
        <f xml:space="preserve"> C39 / C$36</f>
        <v>0</v>
      </c>
      <c r="D45" s="25">
        <f xml:space="preserve"> SUM(C39:D39) / D$36</f>
        <v>0</v>
      </c>
    </row>
    <row r="46" spans="1:16" ht="15.75" thickBot="1" x14ac:dyDescent="0.3">
      <c r="A46" s="80"/>
      <c r="B46" s="17" t="e">
        <f xml:space="preserve"> CONCATENATE(Setup!#REF!, ", ", LEFT(Setup!#REF!,2))</f>
        <v>#REF!</v>
      </c>
      <c r="C46" s="25">
        <f xml:space="preserve"> C40 / C$36</f>
        <v>0</v>
      </c>
      <c r="D46" s="25">
        <f xml:space="preserve"> SUM(C40:D40) / D$36</f>
        <v>0</v>
      </c>
    </row>
    <row r="47" spans="1:16" ht="16.5" thickBot="1" x14ac:dyDescent="0.3">
      <c r="A47" s="80"/>
      <c r="B47" s="18" t="s">
        <v>30</v>
      </c>
      <c r="C47" s="21">
        <f xml:space="preserve"> SUM(C43:C46)</f>
        <v>0</v>
      </c>
      <c r="D47" s="21">
        <f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9"/>
  <sheetViews>
    <sheetView workbookViewId="0">
      <selection activeCell="F20" sqref="F20"/>
    </sheetView>
  </sheetViews>
  <sheetFormatPr defaultColWidth="8.85546875"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26</v>
      </c>
    </row>
    <row r="3" spans="1:3" x14ac:dyDescent="0.25">
      <c r="A3" s="3" t="s">
        <v>1</v>
      </c>
      <c r="B3" s="40">
        <v>42254</v>
      </c>
    </row>
    <row r="4" spans="1:3" x14ac:dyDescent="0.25">
      <c r="A4" s="3" t="s">
        <v>25</v>
      </c>
      <c r="B4" s="40">
        <v>42380</v>
      </c>
    </row>
    <row r="5" spans="1:3" x14ac:dyDescent="0.25">
      <c r="A5" s="3"/>
    </row>
    <row r="6" spans="1:3" ht="15.75" thickBot="1" x14ac:dyDescent="0.3">
      <c r="B6" s="2" t="s">
        <v>0</v>
      </c>
      <c r="C6" s="2" t="s">
        <v>28</v>
      </c>
    </row>
    <row r="7" spans="1:3" ht="15.75" thickBot="1" x14ac:dyDescent="0.3">
      <c r="A7" s="3" t="s">
        <v>2</v>
      </c>
      <c r="B7" s="13" t="s">
        <v>46</v>
      </c>
      <c r="C7" s="16" t="s">
        <v>47</v>
      </c>
    </row>
    <row r="8" spans="1:3" ht="15.75" thickBot="1" x14ac:dyDescent="0.3">
      <c r="A8" s="3" t="s">
        <v>3</v>
      </c>
      <c r="B8" s="13" t="s">
        <v>48</v>
      </c>
      <c r="C8" s="16" t="s">
        <v>49</v>
      </c>
    </row>
    <row r="9" spans="1:3" ht="15.75" thickBot="1" x14ac:dyDescent="0.3">
      <c r="A9" s="3" t="s">
        <v>4</v>
      </c>
      <c r="B9" s="13" t="s">
        <v>50</v>
      </c>
      <c r="C9" s="16" t="s">
        <v>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2016-03-01T05:42:04Z</dcterms:modified>
</cp:coreProperties>
</file>
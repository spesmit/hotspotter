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  <Override PartName="/xl/charts/style3.xml" ContentType="application/vnd.ms-office.chartstyle+xml"/>
  <Override PartName="/xl/charts/colors3.xml" ContentType="application/vnd.ms-office.chartcolorstyle+xml"/>
  <Override PartName="/xl/charts/style4.xml" ContentType="application/vnd.ms-office.chartstyle+xml"/>
  <Override PartName="/xl/charts/colors4.xml" ContentType="application/vnd.ms-office.chartcolorstyle+xml"/>
  <Override PartName="/xl/charts/style5.xml" ContentType="application/vnd.ms-office.chartstyle+xml"/>
  <Override PartName="/xl/charts/colors5.xml" ContentType="application/vnd.ms-office.chartcolorstyle+xml"/>
  <Override PartName="/xl/charts/style6.xml" ContentType="application/vnd.ms-office.chartstyle+xml"/>
  <Override PartName="/xl/charts/colors6.xml" ContentType="application/vnd.ms-office.chartcolorstyle+xml"/>
  <Override PartName="/xl/charts/style7.xml" ContentType="application/vnd.ms-office.chartstyle+xml"/>
  <Override PartName="/xl/charts/colors7.xml" ContentType="application/vnd.ms-office.chartcolorstyle+xml"/>
  <Override PartName="/xl/charts/style8.xml" ContentType="application/vnd.ms-office.chartstyle+xml"/>
  <Override PartName="/xl/charts/colors8.xml" ContentType="application/vnd.ms-office.chartcolorstyle+xml"/>
  <Override PartName="/xl/charts/style9.xml" ContentType="application/vnd.ms-office.chartstyle+xml"/>
  <Override PartName="/xl/charts/colors9.xml" ContentType="application/vnd.ms-office.chartcolorstyle+xml"/>
  <Override PartName="/xl/charts/style10.xml" ContentType="application/vnd.ms-office.chartstyle+xml"/>
  <Override PartName="/xl/charts/colors10.xml" ContentType="application/vnd.ms-office.chartcolorstyle+xml"/>
  <Override PartName="/xl/charts/style11.xml" ContentType="application/vnd.ms-office.chartstyle+xml"/>
  <Override PartName="/xl/charts/colors11.xml" ContentType="application/vnd.ms-office.chartcolorstyle+xml"/>
  <Override PartName="/xl/charts/style12.xml" ContentType="application/vnd.ms-office.chartstyle+xml"/>
  <Override PartName="/xl/charts/colors12.xml" ContentType="application/vnd.ms-office.chartcolorstyle+xml"/>
  <Override PartName="/xl/charts/style13.xml" ContentType="application/vnd.ms-office.chartstyle+xml"/>
  <Override PartName="/xl/charts/colors13.xml" ContentType="application/vnd.ms-office.chartcolorstyle+xml"/>
  <Override PartName="/xl/charts/style14.xml" ContentType="application/vnd.ms-office.chartstyle+xml"/>
  <Override PartName="/xl/charts/colors14.xml" ContentType="application/vnd.ms-office.chartcolorstyle+xml"/>
  <Override PartName="/xl/charts/style15.xml" ContentType="application/vnd.ms-office.chartstyle+xml"/>
  <Override PartName="/xl/charts/colors15.xml" ContentType="application/vnd.ms-office.chartcolorstyle+xml"/>
  <Override PartName="/xl/charts/style16.xml" ContentType="application/vnd.ms-office.chartstyle+xml"/>
  <Override PartName="/xl/charts/colors16.xml" ContentType="application/vnd.ms-office.chartcolorstyle+xml"/>
  <Override PartName="/xl/charts/style17.xml" ContentType="application/vnd.ms-office.chartstyle+xml"/>
  <Override PartName="/xl/charts/colors17.xml" ContentType="application/vnd.ms-office.chartcolorstyle+xml"/>
  <Override PartName="/xl/charts/style18.xml" ContentType="application/vnd.ms-office.chartstyle+xml"/>
  <Override PartName="/xl/charts/colors18.xml" ContentType="application/vnd.ms-office.chartcolorstyle+xml"/>
  <Override PartName="/xl/charts/style19.xml" ContentType="application/vnd.ms-office.chartstyle+xml"/>
  <Override PartName="/xl/charts/colors19.xml" ContentType="application/vnd.ms-office.chartcolorstyle+xml"/>
  <Override PartName="/xl/charts/style20.xml" ContentType="application/vnd.ms-office.chartstyle+xml"/>
  <Override PartName="/xl/charts/colors20.xml" ContentType="application/vnd.ms-office.chartcolorstyle+xml"/>
  <Override PartName="/xl/charts/style21.xml" ContentType="application/vnd.ms-office.chartstyle+xml"/>
  <Override PartName="/xl/charts/colors21.xml" ContentType="application/vnd.ms-office.chartcolorstyle+xml"/>
  <Override PartName="/xl/charts/style22.xml" ContentType="application/vnd.ms-office.chartstyle+xml"/>
  <Override PartName="/xl/charts/colors22.xml" ContentType="application/vnd.ms-office.chartcolorstyle+xml"/>
  <Override PartName="/xl/charts/style23.xml" ContentType="application/vnd.ms-office.chartstyle+xml"/>
  <Override PartName="/xl/charts/colors23.xml" ContentType="application/vnd.ms-office.chartcolorstyle+xml"/>
  <Override PartName="/xl/charts/style24.xml" ContentType="application/vnd.ms-office.chartstyle+xml"/>
  <Override PartName="/xl/charts/colors24.xml" ContentType="application/vnd.ms-office.chartcolorstyle+xml"/>
  <Override PartName="/xl/charts/style25.xml" ContentType="application/vnd.ms-office.chartstyle+xml"/>
  <Override PartName="/xl/charts/colors25.xml" ContentType="application/vnd.ms-office.chartcolorstyle+xml"/>
  <Override PartName="/xl/charts/style26.xml" ContentType="application/vnd.ms-office.chartstyle+xml"/>
  <Override PartName="/xl/charts/colors26.xml" ContentType="application/vnd.ms-office.chartcolorstyle+xml"/>
  <Override PartName="/xl/charts/style27.xml" ContentType="application/vnd.ms-office.chartstyle+xml"/>
  <Override PartName="/xl/charts/colors27.xml" ContentType="application/vnd.ms-office.chartcolorstyle+xml"/>
  <Override PartName="/xl/charts/style28.xml" ContentType="application/vnd.ms-office.chartstyle+xml"/>
  <Override PartName="/xl/charts/colors28.xml" ContentType="application/vnd.ms-office.chartcolorstyle+xml"/>
  <Override PartName="/xl/charts/style29.xml" ContentType="application/vnd.ms-office.chartstyle+xml"/>
  <Override PartName="/xl/charts/colors29.xml" ContentType="application/vnd.ms-office.chartcolorstyle+xml"/>
  <Override PartName="/xl/charts/style30.xml" ContentType="application/vnd.ms-office.chartstyle+xml"/>
  <Override PartName="/xl/charts/colors30.xml" ContentType="application/vnd.ms-office.chartcolorstyle+xml"/>
  <Override PartName="/xl/charts/style31.xml" ContentType="application/vnd.ms-office.chartstyle+xml"/>
  <Override PartName="/xl/charts/colors31.xml" ContentType="application/vnd.ms-office.chartcolorstyle+xml"/>
  <Override PartName="/xl/charts/style32.xml" ContentType="application/vnd.ms-office.chartstyle+xml"/>
  <Override PartName="/xl/charts/colors32.xml" ContentType="application/vnd.ms-office.chartcolorstyle+xml"/>
  <Override PartName="/xl/charts/style33.xml" ContentType="application/vnd.ms-office.chartstyle+xml"/>
  <Override PartName="/xl/charts/colors33.xml" ContentType="application/vnd.ms-office.chartcolorstyle+xml"/>
  <Override PartName="/xl/charts/style34.xml" ContentType="application/vnd.ms-office.chartstyle+xml"/>
  <Override PartName="/xl/charts/colors34.xml" ContentType="application/vnd.ms-office.chartcolorstyle+xml"/>
  <Override PartName="/xl/charts/style35.xml" ContentType="application/vnd.ms-office.chartstyle+xml"/>
  <Override PartName="/xl/charts/colors35.xml" ContentType="application/vnd.ms-office.chartcolorstyle+xml"/>
  <Override PartName="/xl/charts/style36.xml" ContentType="application/vnd.ms-office.chartstyle+xml"/>
  <Override PartName="/xl/charts/colors36.xml" ContentType="application/vnd.ms-office.chartcolorstyle+xml"/>
  <Override PartName="/xl/charts/style37.xml" ContentType="application/vnd.ms-office.chartstyle+xml"/>
  <Override PartName="/xl/charts/colors37.xml" ContentType="application/vnd.ms-office.chartcolorstyle+xml"/>
  <Override PartName="/xl/charts/style38.xml" ContentType="application/vnd.ms-office.chartstyle+xml"/>
  <Override PartName="/xl/charts/colors38.xml" ContentType="application/vnd.ms-office.chartcolorstyle+xml"/>
  <Override PartName="/xl/charts/style39.xml" ContentType="application/vnd.ms-office.chartstyle+xml"/>
  <Override PartName="/xl/charts/colors39.xml" ContentType="application/vnd.ms-office.chartcolorstyle+xml"/>
  <Override PartName="/xl/charts/style40.xml" ContentType="application/vnd.ms-office.chartstyle+xml"/>
  <Override PartName="/xl/charts/colors40.xml" ContentType="application/vnd.ms-office.chartcolorstyle+xml"/>
  <Override PartName="/xl/charts/style41.xml" ContentType="application/vnd.ms-office.chartstyle+xml"/>
  <Override PartName="/xl/charts/colors41.xml" ContentType="application/vnd.ms-office.chartcolorstyle+xml"/>
  <Override PartName="/xl/charts/style42.xml" ContentType="application/vnd.ms-office.chartstyle+xml"/>
  <Override PartName="/xl/charts/colors42.xml" ContentType="application/vnd.ms-office.chartcolorstyle+xml"/>
  <Override PartName="/xl/charts/style43.xml" ContentType="application/vnd.ms-office.chartstyle+xml"/>
  <Override PartName="/xl/charts/colors43.xml" ContentType="application/vnd.ms-office.chartcolorstyle+xml"/>
  <Override PartName="/xl/charts/style44.xml" ContentType="application/vnd.ms-office.chartstyle+xml"/>
  <Override PartName="/xl/charts/colors44.xml" ContentType="application/vnd.ms-office.chartcolorstyle+xml"/>
  <Override PartName="/xl/charts/style45.xml" ContentType="application/vnd.ms-office.chartstyle+xml"/>
  <Override PartName="/xl/charts/colors45.xml" ContentType="application/vnd.ms-office.chartcolorstyle+xml"/>
  <Override PartName="/xl/charts/style46.xml" ContentType="application/vnd.ms-office.chartstyle+xml"/>
  <Override PartName="/xl/charts/colors46.xml" ContentType="application/vnd.ms-office.chartcolorstyle+xml"/>
  <Override PartName="/xl/charts/style47.xml" ContentType="application/vnd.ms-office.chartstyle+xml"/>
  <Override PartName="/xl/charts/colors47.xml" ContentType="application/vnd.ms-office.chartcolorstyle+xml"/>
  <Override PartName="/xl/charts/style48.xml" ContentType="application/vnd.ms-office.chartstyle+xml"/>
  <Override PartName="/xl/charts/colors48.xml" ContentType="application/vnd.ms-office.chartcolorstyle+xml"/>
  <Override PartName="/xl/charts/style49.xml" ContentType="application/vnd.ms-office.chartstyle+xml"/>
  <Override PartName="/xl/charts/colors49.xml" ContentType="application/vnd.ms-office.chartcolorstyle+xml"/>
  <Override PartName="/xl/charts/style50.xml" ContentType="application/vnd.ms-office.chartstyle+xml"/>
  <Override PartName="/xl/charts/colors50.xml" ContentType="application/vnd.ms-office.chartcolorstyle+xml"/>
  <Override PartName="/xl/charts/style51.xml" ContentType="application/vnd.ms-office.chartstyle+xml"/>
  <Override PartName="/xl/charts/colors51.xml" ContentType="application/vnd.ms-office.chartcolorstyle+xml"/>
  <Override PartName="/xl/charts/style52.xml" ContentType="application/vnd.ms-office.chartstyle+xml"/>
  <Override PartName="/xl/charts/colors52.xml" ContentType="application/vnd.ms-office.chartcolorstyle+xml"/>
  <Override PartName="/xl/charts/style53.xml" ContentType="application/vnd.ms-office.chartstyle+xml"/>
  <Override PartName="/xl/charts/colors53.xml" ContentType="application/vnd.ms-office.chartcolorstyle+xml"/>
  <Override PartName="/xl/charts/style54.xml" ContentType="application/vnd.ms-office.chartstyle+xml"/>
  <Override PartName="/xl/charts/colors54.xml" ContentType="application/vnd.ms-office.chartcolorstyle+xml"/>
  <Override PartName="/xl/charts/style55.xml" ContentType="application/vnd.ms-office.chartstyle+xml"/>
  <Override PartName="/xl/charts/colors55.xml" ContentType="application/vnd.ms-office.chartcolorstyle+xml"/>
  <Override PartName="/xl/charts/style56.xml" ContentType="application/vnd.ms-office.chartstyle+xml"/>
  <Override PartName="/xl/charts/colors56.xml" ContentType="application/vnd.ms-office.chartcolorstyle+xml"/>
  <Override PartName="/xl/charts/style57.xml" ContentType="application/vnd.ms-office.chartstyle+xml"/>
  <Override PartName="/xl/charts/colors57.xml" ContentType="application/vnd.ms-office.chartcolorstyle+xml"/>
  <Override PartName="/xl/charts/style58.xml" ContentType="application/vnd.ms-office.chartstyle+xml"/>
  <Override PartName="/xl/charts/colors58.xml" ContentType="application/vnd.ms-office.chartcolorstyle+xml"/>
  <Override PartName="/xl/charts/style59.xml" ContentType="application/vnd.ms-office.chartstyle+xml"/>
  <Override PartName="/xl/charts/colors59.xml" ContentType="application/vnd.ms-office.chartcolorstyle+xml"/>
  <Override PartName="/xl/charts/style60.xml" ContentType="application/vnd.ms-office.chartstyle+xml"/>
  <Override PartName="/xl/charts/colors60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2416"/>
  <workbookPr filterPrivacy="1" codeName="ThisWorkbook" autoCompressPictures="0"/>
  <bookViews>
    <workbookView xWindow="14400" yWindow="0" windowWidth="14400" windowHeight="16520" tabRatio="893" firstSheet="1" activeTab="7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50" l="1"/>
  <c r="C4" i="49"/>
  <c r="C4" i="48"/>
  <c r="C4" i="47"/>
  <c r="C4" i="46"/>
  <c r="C4" i="45"/>
  <c r="C4" i="44"/>
  <c r="C4" i="42"/>
  <c r="D26" i="43"/>
  <c r="L7" i="1"/>
  <c r="L19" i="1"/>
  <c r="M7" i="1"/>
  <c r="M19" i="1"/>
  <c r="N7" i="1"/>
  <c r="N19" i="1"/>
  <c r="O7" i="1"/>
  <c r="O19" i="1"/>
  <c r="P19" i="1"/>
  <c r="Q7" i="1"/>
  <c r="Q19" i="1"/>
  <c r="R19" i="1"/>
  <c r="S19" i="1"/>
  <c r="T19" i="1"/>
  <c r="U19" i="1"/>
  <c r="V19" i="1"/>
  <c r="W19" i="1"/>
  <c r="X19" i="1"/>
  <c r="Y19" i="1"/>
  <c r="L8" i="1"/>
  <c r="L20" i="1"/>
  <c r="M8" i="1"/>
  <c r="M20" i="1"/>
  <c r="N8" i="1"/>
  <c r="N20" i="1"/>
  <c r="O8" i="1"/>
  <c r="O20" i="1"/>
  <c r="P8" i="1"/>
  <c r="P20" i="1"/>
  <c r="Q20" i="1"/>
  <c r="R20" i="1"/>
  <c r="S20" i="1"/>
  <c r="T20" i="1"/>
  <c r="U20" i="1"/>
  <c r="V20" i="1"/>
  <c r="W20" i="1"/>
  <c r="X20" i="1"/>
  <c r="Y20" i="1"/>
  <c r="M9" i="1"/>
  <c r="M15" i="1"/>
  <c r="L15" i="1"/>
  <c r="L21" i="1"/>
  <c r="M21" i="1"/>
  <c r="N9" i="1"/>
  <c r="N21" i="1"/>
  <c r="O9" i="1"/>
  <c r="O21" i="1"/>
  <c r="P9" i="1"/>
  <c r="P21" i="1"/>
  <c r="Q9" i="1"/>
  <c r="Q21" i="1"/>
  <c r="R21" i="1"/>
  <c r="S21" i="1"/>
  <c r="T21" i="1"/>
  <c r="U21" i="1"/>
  <c r="V21" i="1"/>
  <c r="W21" i="1"/>
  <c r="X21" i="1"/>
  <c r="Y21" i="1"/>
  <c r="P22" i="1"/>
  <c r="Q22" i="1"/>
  <c r="R22" i="1"/>
  <c r="S22" i="1"/>
  <c r="T22" i="1"/>
  <c r="U22" i="1"/>
  <c r="V22" i="1"/>
  <c r="W22" i="1"/>
  <c r="X22" i="1"/>
  <c r="Y22" i="1"/>
  <c r="O22" i="1"/>
  <c r="N22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L22" i="1"/>
  <c r="M22" i="1"/>
  <c r="D22" i="1"/>
  <c r="D21" i="1"/>
  <c r="D20" i="1"/>
  <c r="D19" i="1"/>
  <c r="C4" i="43"/>
  <c r="C4" i="2"/>
  <c r="B2" i="43"/>
  <c r="B2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Q8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10" i="1"/>
  <c r="N11" i="1"/>
  <c r="O10" i="1"/>
  <c r="L14" i="1"/>
  <c r="M14" i="1"/>
  <c r="L16" i="1"/>
  <c r="M16" i="1"/>
  <c r="M13" i="1"/>
  <c r="M17" i="1"/>
  <c r="L13" i="1"/>
  <c r="L9" i="1"/>
  <c r="M10" i="1"/>
  <c r="M11" i="1"/>
  <c r="L10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<sst xmlns="http://schemas.openxmlformats.org/spreadsheetml/2006/main" count="294" uniqueCount="52">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</sst>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Relationship Id="rId2" Type="http://schemas.microsoft.com/office/2011/relationships/chartStyle" Target="style2.xml"/><Relationship Id="rId3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Relationship Id="rId2" Type="http://schemas.microsoft.com/office/2011/relationships/chartStyle" Target="style3.xml"/><Relationship Id="rId3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Relationship Id="rId2" Type="http://schemas.microsoft.com/office/2011/relationships/chartStyle" Target="style4.xml"/><Relationship Id="rId3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Relationship Id="rId2" Type="http://schemas.microsoft.com/office/2011/relationships/chartStyle" Target="style5.xml"/><Relationship Id="rId3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Relationship Id="rId2" Type="http://schemas.microsoft.com/office/2011/relationships/chartStyle" Target="style6.xml"/><Relationship Id="rId3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Relationship Id="rId2" Type="http://schemas.microsoft.com/office/2011/relationships/chartStyle" Target="style7.xml"/><Relationship Id="rId3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Relationship Id="rId2" Type="http://schemas.microsoft.com/office/2011/relationships/chartStyle" Target="style8.xml"/><Relationship Id="rId3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Relationship Id="rId2" Type="http://schemas.microsoft.com/office/2011/relationships/chartStyle" Target="style9.xml"/><Relationship Id="rId3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Relationship Id="rId2" Type="http://schemas.microsoft.com/office/2011/relationships/chartStyle" Target="style10.xml"/><Relationship Id="rId3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Relationship Id="rId2" Type="http://schemas.microsoft.com/office/2011/relationships/chartStyle" Target="style11.xml"/><Relationship Id="rId3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Relationship Id="rId2" Type="http://schemas.microsoft.com/office/2011/relationships/chartStyle" Target="style12.xml"/><Relationship Id="rId3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Relationship Id="rId2" Type="http://schemas.microsoft.com/office/2011/relationships/chartStyle" Target="style13.xml"/><Relationship Id="rId3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Relationship Id="rId2" Type="http://schemas.microsoft.com/office/2011/relationships/chartStyle" Target="style14.xml"/><Relationship Id="rId3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Relationship Id="rId2" Type="http://schemas.microsoft.com/office/2011/relationships/chartStyle" Target="style15.xml"/><Relationship Id="rId3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Relationship Id="rId2" Type="http://schemas.microsoft.com/office/2011/relationships/chartStyle" Target="style16.xml"/><Relationship Id="rId3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Relationship Id="rId2" Type="http://schemas.microsoft.com/office/2011/relationships/chartStyle" Target="style17.xml"/><Relationship Id="rId3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Relationship Id="rId2" Type="http://schemas.microsoft.com/office/2011/relationships/chartStyle" Target="style18.xml"/><Relationship Id="rId3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Relationship Id="rId2" Type="http://schemas.microsoft.com/office/2011/relationships/chartStyle" Target="style19.xml"/><Relationship Id="rId3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Relationship Id="rId2" Type="http://schemas.microsoft.com/office/2011/relationships/chartStyle" Target="style20.xml"/><Relationship Id="rId3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Relationship Id="rId2" Type="http://schemas.microsoft.com/office/2011/relationships/chartStyle" Target="style21.xml"/><Relationship Id="rId3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Relationship Id="rId2" Type="http://schemas.microsoft.com/office/2011/relationships/chartStyle" Target="style22.xml"/><Relationship Id="rId3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Relationship Id="rId2" Type="http://schemas.microsoft.com/office/2011/relationships/chartStyle" Target="style23.xml"/><Relationship Id="rId3" Type="http://schemas.microsoft.com/office/2011/relationships/chartColorStyle" Target="colors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Relationship Id="rId2" Type="http://schemas.microsoft.com/office/2011/relationships/chartStyle" Target="style24.xml"/><Relationship Id="rId3" Type="http://schemas.microsoft.com/office/2011/relationships/chartColorStyle" Target="colors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Relationship Id="rId2" Type="http://schemas.microsoft.com/office/2011/relationships/chartStyle" Target="style25.xml"/><Relationship Id="rId3" Type="http://schemas.microsoft.com/office/2011/relationships/chartColorStyle" Target="colors25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Relationship Id="rId2" Type="http://schemas.microsoft.com/office/2011/relationships/chartStyle" Target="style26.xml"/><Relationship Id="rId3" Type="http://schemas.microsoft.com/office/2011/relationships/chartColorStyle" Target="colors2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Relationship Id="rId2" Type="http://schemas.microsoft.com/office/2011/relationships/chartStyle" Target="style27.xml"/><Relationship Id="rId3" Type="http://schemas.microsoft.com/office/2011/relationships/chartColorStyle" Target="colors2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Relationship Id="rId2" Type="http://schemas.microsoft.com/office/2011/relationships/chartStyle" Target="style28.xml"/><Relationship Id="rId3" Type="http://schemas.microsoft.com/office/2011/relationships/chartColorStyle" Target="colors2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Relationship Id="rId2" Type="http://schemas.microsoft.com/office/2011/relationships/chartStyle" Target="style29.xml"/><Relationship Id="rId3" Type="http://schemas.microsoft.com/office/2011/relationships/chartColorStyle" Target="colors2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Relationship Id="rId2" Type="http://schemas.microsoft.com/office/2011/relationships/chartStyle" Target="style30.xml"/><Relationship Id="rId3" Type="http://schemas.microsoft.com/office/2011/relationships/chartColorStyle" Target="colors3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Relationship Id="rId2" Type="http://schemas.microsoft.com/office/2011/relationships/chartStyle" Target="style31.xml"/><Relationship Id="rId3" Type="http://schemas.microsoft.com/office/2011/relationships/chartColorStyle" Target="colors3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Relationship Id="rId2" Type="http://schemas.microsoft.com/office/2011/relationships/chartStyle" Target="style32.xml"/><Relationship Id="rId3" Type="http://schemas.microsoft.com/office/2011/relationships/chartColorStyle" Target="colors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Relationship Id="rId2" Type="http://schemas.microsoft.com/office/2011/relationships/chartStyle" Target="style33.xml"/><Relationship Id="rId3" Type="http://schemas.microsoft.com/office/2011/relationships/chartColorStyle" Target="colors33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Relationship Id="rId2" Type="http://schemas.microsoft.com/office/2011/relationships/chartStyle" Target="style34.xml"/><Relationship Id="rId3" Type="http://schemas.microsoft.com/office/2011/relationships/chartColorStyle" Target="colors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Relationship Id="rId2" Type="http://schemas.microsoft.com/office/2011/relationships/chartStyle" Target="style35.xml"/><Relationship Id="rId3" Type="http://schemas.microsoft.com/office/2011/relationships/chartColorStyle" Target="colors35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Relationship Id="rId2" Type="http://schemas.microsoft.com/office/2011/relationships/chartStyle" Target="style36.xml"/><Relationship Id="rId3" Type="http://schemas.microsoft.com/office/2011/relationships/chartColorStyle" Target="colors3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Relationship Id="rId2" Type="http://schemas.microsoft.com/office/2011/relationships/chartStyle" Target="style37.xml"/><Relationship Id="rId3" Type="http://schemas.microsoft.com/office/2011/relationships/chartColorStyle" Target="colors3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Relationship Id="rId2" Type="http://schemas.microsoft.com/office/2011/relationships/chartStyle" Target="style38.xml"/><Relationship Id="rId3" Type="http://schemas.microsoft.com/office/2011/relationships/chartColorStyle" Target="colors3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Relationship Id="rId2" Type="http://schemas.microsoft.com/office/2011/relationships/chartStyle" Target="style39.xml"/><Relationship Id="rId3" Type="http://schemas.microsoft.com/office/2011/relationships/chartColorStyle" Target="colors3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Relationship Id="rId2" Type="http://schemas.microsoft.com/office/2011/relationships/chartStyle" Target="style40.xml"/><Relationship Id="rId3" Type="http://schemas.microsoft.com/office/2011/relationships/chartColorStyle" Target="colors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Relationship Id="rId2" Type="http://schemas.microsoft.com/office/2011/relationships/chartStyle" Target="style41.xml"/><Relationship Id="rId3" Type="http://schemas.microsoft.com/office/2011/relationships/chartColorStyle" Target="colors41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Relationship Id="rId2" Type="http://schemas.microsoft.com/office/2011/relationships/chartStyle" Target="style42.xml"/><Relationship Id="rId3" Type="http://schemas.microsoft.com/office/2011/relationships/chartColorStyle" Target="colors4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Relationship Id="rId2" Type="http://schemas.microsoft.com/office/2011/relationships/chartStyle" Target="style43.xml"/><Relationship Id="rId3" Type="http://schemas.microsoft.com/office/2011/relationships/chartColorStyle" Target="colors43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Relationship Id="rId2" Type="http://schemas.microsoft.com/office/2011/relationships/chartStyle" Target="style44.xml"/><Relationship Id="rId3" Type="http://schemas.microsoft.com/office/2011/relationships/chartColorStyle" Target="colors4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Relationship Id="rId2" Type="http://schemas.microsoft.com/office/2011/relationships/chartStyle" Target="style45.xml"/><Relationship Id="rId3" Type="http://schemas.microsoft.com/office/2011/relationships/chartColorStyle" Target="colors45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Relationship Id="rId2" Type="http://schemas.microsoft.com/office/2011/relationships/chartStyle" Target="style46.xml"/><Relationship Id="rId3" Type="http://schemas.microsoft.com/office/2011/relationships/chartColorStyle" Target="colors46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Relationship Id="rId2" Type="http://schemas.microsoft.com/office/2011/relationships/chartStyle" Target="style47.xml"/><Relationship Id="rId3" Type="http://schemas.microsoft.com/office/2011/relationships/chartColorStyle" Target="colors47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Relationship Id="rId2" Type="http://schemas.microsoft.com/office/2011/relationships/chartStyle" Target="style48.xml"/><Relationship Id="rId3" Type="http://schemas.microsoft.com/office/2011/relationships/chartColorStyle" Target="colors4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Relationship Id="rId2" Type="http://schemas.microsoft.com/office/2011/relationships/chartStyle" Target="style49.xml"/><Relationship Id="rId3" Type="http://schemas.microsoft.com/office/2011/relationships/chartColorStyle" Target="colors49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Relationship Id="rId2" Type="http://schemas.microsoft.com/office/2011/relationships/chartStyle" Target="style50.xml"/><Relationship Id="rId3" Type="http://schemas.microsoft.com/office/2011/relationships/chartColorStyle" Target="colors50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Relationship Id="rId2" Type="http://schemas.microsoft.com/office/2011/relationships/chartStyle" Target="style51.xml"/><Relationship Id="rId3" Type="http://schemas.microsoft.com/office/2011/relationships/chartColorStyle" Target="colors51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Relationship Id="rId2" Type="http://schemas.microsoft.com/office/2011/relationships/chartStyle" Target="style52.xml"/><Relationship Id="rId3" Type="http://schemas.microsoft.com/office/2011/relationships/chartColorStyle" Target="colors52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Relationship Id="rId2" Type="http://schemas.microsoft.com/office/2011/relationships/chartStyle" Target="style53.xml"/><Relationship Id="rId3" Type="http://schemas.microsoft.com/office/2011/relationships/chartColorStyle" Target="colors53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Relationship Id="rId2" Type="http://schemas.microsoft.com/office/2011/relationships/chartStyle" Target="style54.xml"/><Relationship Id="rId3" Type="http://schemas.microsoft.com/office/2011/relationships/chartColorStyle" Target="colors54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Relationship Id="rId2" Type="http://schemas.microsoft.com/office/2011/relationships/chartStyle" Target="style55.xml"/><Relationship Id="rId3" Type="http://schemas.microsoft.com/office/2011/relationships/chartColorStyle" Target="colors5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Relationship Id="rId2" Type="http://schemas.microsoft.com/office/2011/relationships/chartStyle" Target="style56.xml"/><Relationship Id="rId3" Type="http://schemas.microsoft.com/office/2011/relationships/chartColorStyle" Target="colors56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Relationship Id="rId2" Type="http://schemas.microsoft.com/office/2011/relationships/chartStyle" Target="style57.xml"/><Relationship Id="rId3" Type="http://schemas.microsoft.com/office/2011/relationships/chartColorStyle" Target="colors5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Relationship Id="rId2" Type="http://schemas.microsoft.com/office/2011/relationships/chartStyle" Target="style58.xml"/><Relationship Id="rId3" Type="http://schemas.microsoft.com/office/2011/relationships/chartColorStyle" Target="colors5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Relationship Id="rId2" Type="http://schemas.microsoft.com/office/2011/relationships/chartStyle" Target="style59.xml"/><Relationship Id="rId3" Type="http://schemas.microsoft.com/office/2011/relationships/chartColorStyle" Target="colors59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Relationship Id="rId2" Type="http://schemas.microsoft.com/office/2011/relationships/chartStyle" Target="style60.xml"/><Relationship Id="rId3" Type="http://schemas.microsoft.com/office/2011/relationships/chartColorStyle" Target="colors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0.5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3.0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28.0</c:v>
                </c:pt>
                <c:pt idx="8">
                  <c:v>22.0</c:v>
                </c:pt>
                <c:pt idx="9">
                  <c:v>8.0</c:v>
                </c:pt>
                <c:pt idx="10">
                  <c:v>15.0</c:v>
                </c:pt>
                <c:pt idx="11">
                  <c:v>23.5</c:v>
                </c:pt>
                <c:pt idx="12">
                  <c:v>23.0</c:v>
                </c:pt>
                <c:pt idx="13">
                  <c:v>12.0</c:v>
                </c:pt>
                <c:pt idx="14">
                  <c:v>29.0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8635944"/>
        <c:axId val="210864381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12.52116666666667</c:v>
                </c:pt>
                <c:pt idx="6">
                  <c:v>14.73285714285714</c:v>
                </c:pt>
                <c:pt idx="7">
                  <c:v>16.39125</c:v>
                </c:pt>
                <c:pt idx="8">
                  <c:v>17.01444444444444</c:v>
                </c:pt>
                <c:pt idx="9">
                  <c:v>16.313</c:v>
                </c:pt>
                <c:pt idx="10">
                  <c:v>16.23909090909091</c:v>
                </c:pt>
                <c:pt idx="11">
                  <c:v>16.84416666666667</c:v>
                </c:pt>
                <c:pt idx="12">
                  <c:v>17.31769230769231</c:v>
                </c:pt>
                <c:pt idx="13">
                  <c:v>16.93785714285714</c:v>
                </c:pt>
                <c:pt idx="14">
                  <c:v>17.742</c:v>
                </c:pt>
                <c:pt idx="15">
                  <c:v>16.633125</c:v>
                </c:pt>
                <c:pt idx="16">
                  <c:v>15.65470588235294</c:v>
                </c:pt>
                <c:pt idx="17">
                  <c:v>14.785</c:v>
                </c:pt>
                <c:pt idx="18">
                  <c:v>14.00684210526316</c:v>
                </c:pt>
                <c:pt idx="19">
                  <c:v>13.3065</c:v>
                </c:pt>
                <c:pt idx="20">
                  <c:v>12.67285714285714</c:v>
                </c:pt>
                <c:pt idx="21">
                  <c:v>12.09681818181818</c:v>
                </c:pt>
                <c:pt idx="22">
                  <c:v>11.5708695652174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635944"/>
        <c:axId val="2108643816"/>
      </c:lineChart>
      <c:catAx>
        <c:axId val="2108635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643816"/>
        <c:crosses val="autoZero"/>
        <c:auto val="0"/>
        <c:lblAlgn val="ctr"/>
        <c:lblOffset val="100"/>
        <c:noMultiLvlLbl val="0"/>
      </c:catAx>
      <c:valAx>
        <c:axId val="210864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63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0.0</c:v>
                </c:pt>
                <c:pt idx="1">
                  <c:v>4.0</c:v>
                </c:pt>
                <c:pt idx="2">
                  <c:v>3.5</c:v>
                </c:pt>
                <c:pt idx="3">
                  <c:v>0.0</c:v>
                </c:pt>
                <c:pt idx="4">
                  <c:v>1.0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5.0</c:v>
                </c:pt>
                <c:pt idx="5">
                  <c:v>5.0</c:v>
                </c:pt>
                <c:pt idx="6">
                  <c:v>10.5</c:v>
                </c:pt>
                <c:pt idx="7">
                  <c:v>11.0</c:v>
                </c:pt>
                <c:pt idx="8">
                  <c:v>9.0</c:v>
                </c:pt>
                <c:pt idx="9">
                  <c:v>6.0</c:v>
                </c:pt>
                <c:pt idx="10">
                  <c:v>9.0</c:v>
                </c:pt>
                <c:pt idx="11">
                  <c:v>1.5</c:v>
                </c:pt>
                <c:pt idx="12">
                  <c:v>12.0</c:v>
                </c:pt>
                <c:pt idx="13">
                  <c:v>0.0</c:v>
                </c:pt>
                <c:pt idx="14">
                  <c:v>20.0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331272"/>
        <c:axId val="210933780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2.0</c:v>
                </c:pt>
                <c:pt idx="1">
                  <c:v>3.5</c:v>
                </c:pt>
                <c:pt idx="2">
                  <c:v>3.833333333333333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</c:v>
                </c:pt>
                <c:pt idx="6">
                  <c:v>4.857142857142857</c:v>
                </c:pt>
                <c:pt idx="7">
                  <c:v>5.625</c:v>
                </c:pt>
                <c:pt idx="8">
                  <c:v>6.0</c:v>
                </c:pt>
                <c:pt idx="9">
                  <c:v>6.0</c:v>
                </c:pt>
                <c:pt idx="10">
                  <c:v>6.272727272727272</c:v>
                </c:pt>
                <c:pt idx="11">
                  <c:v>5.875</c:v>
                </c:pt>
                <c:pt idx="12">
                  <c:v>6.346153846153846</c:v>
                </c:pt>
                <c:pt idx="13">
                  <c:v>5.892857142857143</c:v>
                </c:pt>
                <c:pt idx="14">
                  <c:v>6.833333333333332</c:v>
                </c:pt>
                <c:pt idx="15">
                  <c:v>6.40625</c:v>
                </c:pt>
                <c:pt idx="16">
                  <c:v>6.029411764705882</c:v>
                </c:pt>
                <c:pt idx="17">
                  <c:v>5.694444444444445</c:v>
                </c:pt>
                <c:pt idx="18">
                  <c:v>5.394736842105263</c:v>
                </c:pt>
                <c:pt idx="19">
                  <c:v>5.125</c:v>
                </c:pt>
                <c:pt idx="20">
                  <c:v>4.880952380952381</c:v>
                </c:pt>
                <c:pt idx="21">
                  <c:v>4.659090909090909</c:v>
                </c:pt>
                <c:pt idx="22">
                  <c:v>4.456521739130434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331272"/>
        <c:axId val="2109337800"/>
      </c:lineChart>
      <c:catAx>
        <c:axId val="2109331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37800"/>
        <c:crosses val="autoZero"/>
        <c:auto val="0"/>
        <c:lblAlgn val="ctr"/>
        <c:lblOffset val="100"/>
        <c:noMultiLvlLbl val="0"/>
      </c:catAx>
      <c:valAx>
        <c:axId val="2109337800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33127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</c:v>
                </c:pt>
                <c:pt idx="3">
                  <c:v>5.75</c:v>
                </c:pt>
                <c:pt idx="4">
                  <c:v>1.5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0.0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2.0</c:v>
                </c:pt>
                <c:pt idx="6">
                  <c:v>12.003</c:v>
                </c:pt>
                <c:pt idx="7">
                  <c:v>11.0</c:v>
                </c:pt>
                <c:pt idx="8">
                  <c:v>8.0</c:v>
                </c:pt>
                <c:pt idx="9">
                  <c:v>2.0</c:v>
                </c:pt>
                <c:pt idx="10">
                  <c:v>6.0</c:v>
                </c:pt>
                <c:pt idx="11">
                  <c:v>10.0</c:v>
                </c:pt>
                <c:pt idx="12">
                  <c:v>6.0</c:v>
                </c:pt>
                <c:pt idx="13">
                  <c:v>8.0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971720"/>
        <c:axId val="210796514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</c:v>
                </c:pt>
                <c:pt idx="3">
                  <c:v>5.827500000000001</c:v>
                </c:pt>
                <c:pt idx="4">
                  <c:v>5.262</c:v>
                </c:pt>
                <c:pt idx="5">
                  <c:v>4.718333333333333</c:v>
                </c:pt>
                <c:pt idx="6">
                  <c:v>5.759</c:v>
                </c:pt>
                <c:pt idx="7">
                  <c:v>6.414125</c:v>
                </c:pt>
                <c:pt idx="8">
                  <c:v>6.590333333333333</c:v>
                </c:pt>
                <c:pt idx="9">
                  <c:v>6.1313</c:v>
                </c:pt>
                <c:pt idx="10">
                  <c:v>6.119363636363636</c:v>
                </c:pt>
                <c:pt idx="11">
                  <c:v>6.44275</c:v>
                </c:pt>
                <c:pt idx="12">
                  <c:v>6.408692307692307</c:v>
                </c:pt>
                <c:pt idx="13">
                  <c:v>6.522357142857143</c:v>
                </c:pt>
                <c:pt idx="14">
                  <c:v>6.087533333333334</c:v>
                </c:pt>
                <c:pt idx="15">
                  <c:v>5.7070625</c:v>
                </c:pt>
                <c:pt idx="16">
                  <c:v>5.371352941176471</c:v>
                </c:pt>
                <c:pt idx="17">
                  <c:v>5.072944444444444</c:v>
                </c:pt>
                <c:pt idx="18">
                  <c:v>4.805947368421052</c:v>
                </c:pt>
                <c:pt idx="19">
                  <c:v>4.56565</c:v>
                </c:pt>
                <c:pt idx="20">
                  <c:v>4.348238095238094</c:v>
                </c:pt>
                <c:pt idx="21">
                  <c:v>4.150590909090909</c:v>
                </c:pt>
                <c:pt idx="22">
                  <c:v>3.970130434782609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71720"/>
        <c:axId val="2107965144"/>
      </c:lineChart>
      <c:catAx>
        <c:axId val="2107971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965144"/>
        <c:crosses val="autoZero"/>
        <c:auto val="0"/>
        <c:lblAlgn val="ctr"/>
        <c:lblOffset val="100"/>
        <c:noMultiLvlLbl val="0"/>
      </c:catAx>
      <c:valAx>
        <c:axId val="2107965144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97172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4.0</c:v>
                </c:pt>
                <c:pt idx="3">
                  <c:v>0.5</c:v>
                </c:pt>
                <c:pt idx="4">
                  <c:v>0.5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0.5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1.0</c:v>
                </c:pt>
                <c:pt idx="1">
                  <c:v>1.75</c:v>
                </c:pt>
                <c:pt idx="2">
                  <c:v>5.0</c:v>
                </c:pt>
                <c:pt idx="3">
                  <c:v>3.0</c:v>
                </c:pt>
                <c:pt idx="4">
                  <c:v>1.0</c:v>
                </c:pt>
                <c:pt idx="5">
                  <c:v>5.067</c:v>
                </c:pt>
                <c:pt idx="6">
                  <c:v>5.5</c:v>
                </c:pt>
                <c:pt idx="7">
                  <c:v>6.0</c:v>
                </c:pt>
                <c:pt idx="8">
                  <c:v>5.0</c:v>
                </c:pt>
                <c:pt idx="9">
                  <c:v>0.0</c:v>
                </c:pt>
                <c:pt idx="10">
                  <c:v>0.0</c:v>
                </c:pt>
                <c:pt idx="11">
                  <c:v>12.0</c:v>
                </c:pt>
                <c:pt idx="12">
                  <c:v>5.0</c:v>
                </c:pt>
                <c:pt idx="13">
                  <c:v>4.0</c:v>
                </c:pt>
                <c:pt idx="14">
                  <c:v>9.0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914776"/>
        <c:axId val="210790820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4.416666666666666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</c:v>
                </c:pt>
                <c:pt idx="9">
                  <c:v>4.1817</c:v>
                </c:pt>
                <c:pt idx="10">
                  <c:v>3.847</c:v>
                </c:pt>
                <c:pt idx="11">
                  <c:v>4.526416666666667</c:v>
                </c:pt>
                <c:pt idx="12">
                  <c:v>4.562846153846154</c:v>
                </c:pt>
                <c:pt idx="13">
                  <c:v>4.522642857142857</c:v>
                </c:pt>
                <c:pt idx="14">
                  <c:v>4.821133333333334</c:v>
                </c:pt>
                <c:pt idx="15">
                  <c:v>4.5198125</c:v>
                </c:pt>
                <c:pt idx="16">
                  <c:v>4.253941176470589</c:v>
                </c:pt>
                <c:pt idx="17">
                  <c:v>4.017611111111112</c:v>
                </c:pt>
                <c:pt idx="18">
                  <c:v>3.806157894736843</c:v>
                </c:pt>
                <c:pt idx="19">
                  <c:v>3.61585</c:v>
                </c:pt>
                <c:pt idx="20">
                  <c:v>3.443666666666667</c:v>
                </c:pt>
                <c:pt idx="21">
                  <c:v>3.287136363636363</c:v>
                </c:pt>
                <c:pt idx="22">
                  <c:v>3.144217391304348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14776"/>
        <c:axId val="2107908200"/>
      </c:lineChart>
      <c:catAx>
        <c:axId val="2107914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908200"/>
        <c:crosses val="autoZero"/>
        <c:auto val="0"/>
        <c:lblAlgn val="ctr"/>
        <c:lblOffset val="100"/>
        <c:noMultiLvlLbl val="0"/>
      </c:catAx>
      <c:valAx>
        <c:axId val="2107908200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91477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859656"/>
        <c:axId val="210785308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859656"/>
        <c:axId val="2107853080"/>
      </c:lineChart>
      <c:catAx>
        <c:axId val="2107859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853080"/>
        <c:crosses val="autoZero"/>
        <c:auto val="0"/>
        <c:lblAlgn val="ctr"/>
        <c:lblOffset val="100"/>
        <c:noMultiLvlLbl val="0"/>
      </c:catAx>
      <c:valAx>
        <c:axId val="2107853080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8596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0.0</c:v>
                </c:pt>
                <c:pt idx="1">
                  <c:v>0.58</c:v>
                </c:pt>
                <c:pt idx="2">
                  <c:v>1.0</c:v>
                </c:pt>
                <c:pt idx="3">
                  <c:v>1.33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2.5</c:v>
                </c:pt>
                <c:pt idx="9">
                  <c:v>3.0</c:v>
                </c:pt>
                <c:pt idx="10">
                  <c:v>3.75</c:v>
                </c:pt>
                <c:pt idx="11">
                  <c:v>2.0</c:v>
                </c:pt>
                <c:pt idx="12">
                  <c:v>0.0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1.0</c:v>
                </c:pt>
                <c:pt idx="17">
                  <c:v>2.0</c:v>
                </c:pt>
                <c:pt idx="18">
                  <c:v>0.0</c:v>
                </c:pt>
                <c:pt idx="19">
                  <c:v>3.5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2.0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3.0</c:v>
                </c:pt>
                <c:pt idx="15">
                  <c:v>1.5</c:v>
                </c:pt>
                <c:pt idx="16">
                  <c:v>1.0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795256"/>
        <c:axId val="210778872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0.0</c:v>
                </c:pt>
                <c:pt idx="1">
                  <c:v>0.29</c:v>
                </c:pt>
                <c:pt idx="2">
                  <c:v>0.526666666666667</c:v>
                </c:pt>
                <c:pt idx="3">
                  <c:v>1.4775</c:v>
                </c:pt>
                <c:pt idx="4">
                  <c:v>1.182</c:v>
                </c:pt>
                <c:pt idx="5">
                  <c:v>0.985</c:v>
                </c:pt>
                <c:pt idx="6">
                  <c:v>0.844285714285714</c:v>
                </c:pt>
                <c:pt idx="7">
                  <c:v>0.73875</c:v>
                </c:pt>
                <c:pt idx="8">
                  <c:v>1.156666666666667</c:v>
                </c:pt>
                <c:pt idx="9">
                  <c:v>1.441</c:v>
                </c:pt>
                <c:pt idx="10">
                  <c:v>1.673636363636364</c:v>
                </c:pt>
                <c:pt idx="11">
                  <c:v>1.700833333333333</c:v>
                </c:pt>
                <c:pt idx="12">
                  <c:v>1.57</c:v>
                </c:pt>
                <c:pt idx="13">
                  <c:v>1.636428571428571</c:v>
                </c:pt>
                <c:pt idx="14">
                  <c:v>1.954</c:v>
                </c:pt>
                <c:pt idx="15">
                  <c:v>2.081875</c:v>
                </c:pt>
                <c:pt idx="16">
                  <c:v>2.077058823529412</c:v>
                </c:pt>
                <c:pt idx="17">
                  <c:v>2.100555555555556</c:v>
                </c:pt>
                <c:pt idx="18">
                  <c:v>1.99</c:v>
                </c:pt>
                <c:pt idx="19">
                  <c:v>2.0905</c:v>
                </c:pt>
                <c:pt idx="20">
                  <c:v>1.990952380952381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95256"/>
        <c:axId val="2107788728"/>
      </c:lineChart>
      <c:catAx>
        <c:axId val="2107795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788728"/>
        <c:crosses val="autoZero"/>
        <c:auto val="1"/>
        <c:lblAlgn val="ctr"/>
        <c:lblOffset val="100"/>
        <c:noMultiLvlLbl val="1"/>
      </c:catAx>
      <c:valAx>
        <c:axId val="210778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79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2.0</c:v>
                </c:pt>
                <c:pt idx="11">
                  <c:v>2.0</c:v>
                </c:pt>
                <c:pt idx="12">
                  <c:v>0.0</c:v>
                </c:pt>
                <c:pt idx="13">
                  <c:v>0.0</c:v>
                </c:pt>
                <c:pt idx="14">
                  <c:v>0.5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3.0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734024"/>
        <c:axId val="21077274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0.5</c:v>
                </c:pt>
                <c:pt idx="4">
                  <c:v>0.4</c:v>
                </c:pt>
                <c:pt idx="5">
                  <c:v>0.333333333333333</c:v>
                </c:pt>
                <c:pt idx="6">
                  <c:v>0.285714285714286</c:v>
                </c:pt>
                <c:pt idx="7">
                  <c:v>0.25</c:v>
                </c:pt>
                <c:pt idx="8">
                  <c:v>0.333333333333333</c:v>
                </c:pt>
                <c:pt idx="9">
                  <c:v>0.3</c:v>
                </c:pt>
                <c:pt idx="10">
                  <c:v>0.454545454545454</c:v>
                </c:pt>
                <c:pt idx="11">
                  <c:v>0.583333333333333</c:v>
                </c:pt>
                <c:pt idx="12">
                  <c:v>0.538461538461538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</c:v>
                </c:pt>
                <c:pt idx="18">
                  <c:v>0.447368421052632</c:v>
                </c:pt>
                <c:pt idx="19">
                  <c:v>0.575</c:v>
                </c:pt>
                <c:pt idx="20">
                  <c:v>0.547619047619048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34024"/>
        <c:axId val="2107727496"/>
      </c:lineChart>
      <c:catAx>
        <c:axId val="2107734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727496"/>
        <c:crosses val="autoZero"/>
        <c:auto val="1"/>
        <c:lblAlgn val="ctr"/>
        <c:lblOffset val="100"/>
        <c:noMultiLvlLbl val="1"/>
      </c:catAx>
      <c:valAx>
        <c:axId val="210772749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73402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0.0</c:v>
                </c:pt>
                <c:pt idx="1">
                  <c:v>0.33</c:v>
                </c:pt>
                <c:pt idx="2">
                  <c:v>1.0</c:v>
                </c:pt>
                <c:pt idx="3">
                  <c:v>1.33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2.5</c:v>
                </c:pt>
                <c:pt idx="9">
                  <c:v>2.0</c:v>
                </c:pt>
                <c:pt idx="10">
                  <c:v>1.5</c:v>
                </c:pt>
                <c:pt idx="11">
                  <c:v>0.0</c:v>
                </c:pt>
                <c:pt idx="12">
                  <c:v>0.0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1.0</c:v>
                </c:pt>
                <c:pt idx="17">
                  <c:v>1.5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672888"/>
        <c:axId val="21076663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0.0</c:v>
                </c:pt>
                <c:pt idx="1">
                  <c:v>0.165</c:v>
                </c:pt>
                <c:pt idx="2">
                  <c:v>0.443333333333333</c:v>
                </c:pt>
                <c:pt idx="3">
                  <c:v>0.665</c:v>
                </c:pt>
                <c:pt idx="4">
                  <c:v>0.532</c:v>
                </c:pt>
                <c:pt idx="5">
                  <c:v>0.443333333333333</c:v>
                </c:pt>
                <c:pt idx="6">
                  <c:v>0.38</c:v>
                </c:pt>
                <c:pt idx="7">
                  <c:v>0.3325</c:v>
                </c:pt>
                <c:pt idx="8">
                  <c:v>0.628888888888889</c:v>
                </c:pt>
                <c:pt idx="9">
                  <c:v>0.766</c:v>
                </c:pt>
                <c:pt idx="10">
                  <c:v>0.832727272727273</c:v>
                </c:pt>
                <c:pt idx="11">
                  <c:v>0.763333333333333</c:v>
                </c:pt>
                <c:pt idx="12">
                  <c:v>0.704615384615385</c:v>
                </c:pt>
                <c:pt idx="13">
                  <c:v>0.832857142857143</c:v>
                </c:pt>
                <c:pt idx="14">
                  <c:v>0.904</c:v>
                </c:pt>
                <c:pt idx="15">
                  <c:v>0.91</c:v>
                </c:pt>
                <c:pt idx="16">
                  <c:v>0.915294117647059</c:v>
                </c:pt>
                <c:pt idx="17">
                  <c:v>0.947777777777778</c:v>
                </c:pt>
                <c:pt idx="18">
                  <c:v>0.897894736842105</c:v>
                </c:pt>
                <c:pt idx="19">
                  <c:v>0.853</c:v>
                </c:pt>
                <c:pt idx="20">
                  <c:v>0.812380952380952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72888"/>
        <c:axId val="2107666360"/>
      </c:lineChart>
      <c:catAx>
        <c:axId val="2107672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666360"/>
        <c:crosses val="autoZero"/>
        <c:auto val="1"/>
        <c:lblAlgn val="ctr"/>
        <c:lblOffset val="100"/>
        <c:noMultiLvlLbl val="1"/>
      </c:catAx>
      <c:valAx>
        <c:axId val="210766636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6728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1.0</c:v>
                </c:pt>
                <c:pt idx="15">
                  <c:v>2.0</c:v>
                </c:pt>
                <c:pt idx="16">
                  <c:v>0.0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0.5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3.0</c:v>
                </c:pt>
                <c:pt idx="15">
                  <c:v>0.0</c:v>
                </c:pt>
                <c:pt idx="16">
                  <c:v>1.0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226376"/>
        <c:axId val="21112328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0.0</c:v>
                </c:pt>
                <c:pt idx="1">
                  <c:v>0.125</c:v>
                </c:pt>
                <c:pt idx="2">
                  <c:v>0.0833333333333333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</c:v>
                </c:pt>
                <c:pt idx="6">
                  <c:v>0.178571428571429</c:v>
                </c:pt>
                <c:pt idx="7">
                  <c:v>0.15625</c:v>
                </c:pt>
                <c:pt idx="8">
                  <c:v>0.194444444444444</c:v>
                </c:pt>
                <c:pt idx="9">
                  <c:v>0.375</c:v>
                </c:pt>
                <c:pt idx="10">
                  <c:v>0.386363636363636</c:v>
                </c:pt>
                <c:pt idx="11">
                  <c:v>0.354166666666667</c:v>
                </c:pt>
                <c:pt idx="12">
                  <c:v>0.326923076923077</c:v>
                </c:pt>
                <c:pt idx="13">
                  <c:v>0.303571428571429</c:v>
                </c:pt>
                <c:pt idx="14">
                  <c:v>0.55</c:v>
                </c:pt>
                <c:pt idx="15">
                  <c:v>0.640625</c:v>
                </c:pt>
                <c:pt idx="16">
                  <c:v>0.661764705882353</c:v>
                </c:pt>
                <c:pt idx="17">
                  <c:v>0.680555555555555</c:v>
                </c:pt>
                <c:pt idx="18">
                  <c:v>0.644736842105263</c:v>
                </c:pt>
                <c:pt idx="19">
                  <c:v>0.6625</c:v>
                </c:pt>
                <c:pt idx="20">
                  <c:v>0.630952380952381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226376"/>
        <c:axId val="2111232856"/>
      </c:lineChart>
      <c:catAx>
        <c:axId val="2111226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32856"/>
        <c:crosses val="autoZero"/>
        <c:auto val="1"/>
        <c:lblAlgn val="ctr"/>
        <c:lblOffset val="100"/>
        <c:noMultiLvlLbl val="1"/>
      </c:catAx>
      <c:valAx>
        <c:axId val="211123285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2637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288152"/>
        <c:axId val="21112946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288152"/>
        <c:axId val="2111294632"/>
      </c:lineChart>
      <c:catAx>
        <c:axId val="2111288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4632"/>
        <c:crosses val="autoZero"/>
        <c:auto val="1"/>
        <c:lblAlgn val="ctr"/>
        <c:lblOffset val="100"/>
        <c:noMultiLvlLbl val="1"/>
      </c:catAx>
      <c:valAx>
        <c:axId val="21112946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8815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4.0</c:v>
                </c:pt>
                <c:pt idx="1">
                  <c:v>0.75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0.0</c:v>
                </c:pt>
                <c:pt idx="1">
                  <c:v>1.5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2.5</c:v>
                </c:pt>
                <c:pt idx="7">
                  <c:v>4.5</c:v>
                </c:pt>
                <c:pt idx="8">
                  <c:v>2.0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0261000"/>
        <c:axId val="211026748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4.0</c:v>
                </c:pt>
                <c:pt idx="1">
                  <c:v>3.125</c:v>
                </c:pt>
                <c:pt idx="2">
                  <c:v>2.083333333333333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</c:v>
                </c:pt>
                <c:pt idx="6">
                  <c:v>1.535714285714286</c:v>
                </c:pt>
                <c:pt idx="7">
                  <c:v>1.90625</c:v>
                </c:pt>
                <c:pt idx="8">
                  <c:v>1.916666666666666</c:v>
                </c:pt>
                <c:pt idx="9">
                  <c:v>1.775</c:v>
                </c:pt>
                <c:pt idx="10">
                  <c:v>1.613636363636364</c:v>
                </c:pt>
                <c:pt idx="11">
                  <c:v>1.479166666666667</c:v>
                </c:pt>
                <c:pt idx="12">
                  <c:v>1.365384615384615</c:v>
                </c:pt>
                <c:pt idx="13">
                  <c:v>1.517857142857143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0261000"/>
        <c:axId val="2110267480"/>
      </c:lineChart>
      <c:catAx>
        <c:axId val="2110261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267480"/>
        <c:crosses val="autoZero"/>
        <c:auto val="0"/>
        <c:lblAlgn val="ctr"/>
        <c:lblOffset val="100"/>
        <c:noMultiLvlLbl val="1"/>
      </c:catAx>
      <c:valAx>
        <c:axId val="21102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26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4.5</c:v>
                </c:pt>
                <c:pt idx="8">
                  <c:v>0.5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402056"/>
        <c:axId val="210940853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0.0</c:v>
                </c:pt>
                <c:pt idx="1">
                  <c:v>0.25</c:v>
                </c:pt>
                <c:pt idx="2">
                  <c:v>0.166666666666667</c:v>
                </c:pt>
                <c:pt idx="3">
                  <c:v>0.25</c:v>
                </c:pt>
                <c:pt idx="4">
                  <c:v>0.2</c:v>
                </c:pt>
                <c:pt idx="5">
                  <c:v>0.166666666666667</c:v>
                </c:pt>
                <c:pt idx="6">
                  <c:v>0.142857142857143</c:v>
                </c:pt>
                <c:pt idx="7">
                  <c:v>0.6875</c:v>
                </c:pt>
                <c:pt idx="8">
                  <c:v>0.666666666666667</c:v>
                </c:pt>
                <c:pt idx="9">
                  <c:v>0.6</c:v>
                </c:pt>
                <c:pt idx="10">
                  <c:v>0.545454545454545</c:v>
                </c:pt>
                <c:pt idx="11">
                  <c:v>0.5</c:v>
                </c:pt>
                <c:pt idx="12">
                  <c:v>0.461538461538462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402056"/>
        <c:axId val="2109408536"/>
      </c:lineChart>
      <c:catAx>
        <c:axId val="2109402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408536"/>
        <c:crosses val="autoZero"/>
        <c:auto val="1"/>
        <c:lblAlgn val="ctr"/>
        <c:lblOffset val="100"/>
        <c:noMultiLvlLbl val="1"/>
      </c:catAx>
      <c:valAx>
        <c:axId val="210940853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4020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4.0</c:v>
                </c:pt>
                <c:pt idx="1">
                  <c:v>0.75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0.5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464152"/>
        <c:axId val="210947063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4.0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1.15</c:v>
                </c:pt>
                <c:pt idx="5">
                  <c:v>0.958333333333333</c:v>
                </c:pt>
                <c:pt idx="6">
                  <c:v>0.892857142857143</c:v>
                </c:pt>
                <c:pt idx="7">
                  <c:v>0.78125</c:v>
                </c:pt>
                <c:pt idx="8">
                  <c:v>0.861111111111111</c:v>
                </c:pt>
                <c:pt idx="9">
                  <c:v>0.775</c:v>
                </c:pt>
                <c:pt idx="10">
                  <c:v>0.704545454545455</c:v>
                </c:pt>
                <c:pt idx="11">
                  <c:v>0.645833333333333</c:v>
                </c:pt>
                <c:pt idx="12">
                  <c:v>0.596153846153846</c:v>
                </c:pt>
                <c:pt idx="13">
                  <c:v>0.660714285714286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464152"/>
        <c:axId val="2109470632"/>
      </c:lineChart>
      <c:catAx>
        <c:axId val="2109464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470632"/>
        <c:crosses val="autoZero"/>
        <c:auto val="1"/>
        <c:lblAlgn val="ctr"/>
        <c:lblOffset val="100"/>
        <c:noMultiLvlLbl val="1"/>
      </c:catAx>
      <c:valAx>
        <c:axId val="21094706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46415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0.5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2.5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525272"/>
        <c:axId val="21095317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0.0</c:v>
                </c:pt>
                <c:pt idx="1">
                  <c:v>0.25</c:v>
                </c:pt>
                <c:pt idx="2">
                  <c:v>0.166666666666667</c:v>
                </c:pt>
                <c:pt idx="3">
                  <c:v>0.125</c:v>
                </c:pt>
                <c:pt idx="4">
                  <c:v>0.1</c:v>
                </c:pt>
                <c:pt idx="5">
                  <c:v>0.0833333333333333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0.388888888888889</c:v>
                </c:pt>
                <c:pt idx="9">
                  <c:v>0.4</c:v>
                </c:pt>
                <c:pt idx="10">
                  <c:v>0.363636363636364</c:v>
                </c:pt>
                <c:pt idx="11">
                  <c:v>0.333333333333333</c:v>
                </c:pt>
                <c:pt idx="12">
                  <c:v>0.307692307692308</c:v>
                </c:pt>
                <c:pt idx="13">
                  <c:v>0.357142857142857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525272"/>
        <c:axId val="2109531752"/>
      </c:lineChart>
      <c:catAx>
        <c:axId val="2109525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31752"/>
        <c:crosses val="autoZero"/>
        <c:auto val="1"/>
        <c:lblAlgn val="ctr"/>
        <c:lblOffset val="100"/>
        <c:noMultiLvlLbl val="1"/>
      </c:catAx>
      <c:valAx>
        <c:axId val="210953175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2527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585912"/>
        <c:axId val="210959239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585912"/>
        <c:axId val="2109592392"/>
      </c:lineChart>
      <c:catAx>
        <c:axId val="2109585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92392"/>
        <c:crosses val="autoZero"/>
        <c:auto val="1"/>
        <c:lblAlgn val="ctr"/>
        <c:lblOffset val="100"/>
        <c:noMultiLvlLbl val="1"/>
      </c:catAx>
      <c:valAx>
        <c:axId val="210959239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859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42289.0</c:v>
                </c:pt>
                <c:pt idx="1">
                  <c:v>42290.0</c:v>
                </c:pt>
                <c:pt idx="2">
                  <c:v>42291.0</c:v>
                </c:pt>
                <c:pt idx="3">
                  <c:v>42292.0</c:v>
                </c:pt>
                <c:pt idx="4">
                  <c:v>42293.0</c:v>
                </c:pt>
                <c:pt idx="5">
                  <c:v>42294.0</c:v>
                </c:pt>
                <c:pt idx="6">
                  <c:v>42295.0</c:v>
                </c:pt>
                <c:pt idx="7">
                  <c:v>42296.0</c:v>
                </c:pt>
                <c:pt idx="8">
                  <c:v>42297.0</c:v>
                </c:pt>
                <c:pt idx="9">
                  <c:v>42298.0</c:v>
                </c:pt>
                <c:pt idx="10">
                  <c:v>42299.0</c:v>
                </c:pt>
                <c:pt idx="11">
                  <c:v>42300.0</c:v>
                </c:pt>
                <c:pt idx="12">
                  <c:v>42301.0</c:v>
                </c:pt>
                <c:pt idx="13">
                  <c:v>42302.0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0.25</c:v>
                </c:pt>
                <c:pt idx="4">
                  <c:v>3.75</c:v>
                </c:pt>
                <c:pt idx="5">
                  <c:v>2.0</c:v>
                </c:pt>
                <c:pt idx="6">
                  <c:v>6.067</c:v>
                </c:pt>
                <c:pt idx="7">
                  <c:v>7.017</c:v>
                </c:pt>
                <c:pt idx="8">
                  <c:v>6.483</c:v>
                </c:pt>
                <c:pt idx="9">
                  <c:v>0.0</c:v>
                </c:pt>
                <c:pt idx="10">
                  <c:v>3.0</c:v>
                </c:pt>
                <c:pt idx="11">
                  <c:v>0.0</c:v>
                </c:pt>
                <c:pt idx="12">
                  <c:v>2.0</c:v>
                </c:pt>
                <c:pt idx="13">
                  <c:v>9.503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3637000"/>
        <c:axId val="2023649288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0.0625</c:v>
                </c:pt>
                <c:pt idx="4">
                  <c:v>0.8</c:v>
                </c:pt>
                <c:pt idx="5">
                  <c:v>1.0</c:v>
                </c:pt>
                <c:pt idx="6">
                  <c:v>1.723857142857143</c:v>
                </c:pt>
                <c:pt idx="7">
                  <c:v>2.3855</c:v>
                </c:pt>
                <c:pt idx="8">
                  <c:v>2.840777777777777</c:v>
                </c:pt>
                <c:pt idx="9">
                  <c:v>2.5567</c:v>
                </c:pt>
                <c:pt idx="10">
                  <c:v>2.597</c:v>
                </c:pt>
                <c:pt idx="11">
                  <c:v>2.380583333333333</c:v>
                </c:pt>
                <c:pt idx="12">
                  <c:v>2.351307692307692</c:v>
                </c:pt>
                <c:pt idx="13">
                  <c:v>2.862142857142857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3637000"/>
        <c:axId val="2023649288"/>
      </c:lineChart>
      <c:catAx>
        <c:axId val="2023637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649288"/>
        <c:crosses val="autoZero"/>
        <c:auto val="0"/>
        <c:lblAlgn val="ctr"/>
        <c:lblOffset val="100"/>
        <c:noMultiLvlLbl val="1"/>
      </c:catAx>
      <c:valAx>
        <c:axId val="202364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63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42289.0</c:v>
                </c:pt>
                <c:pt idx="1">
                  <c:v>42290.0</c:v>
                </c:pt>
                <c:pt idx="2">
                  <c:v>42291.0</c:v>
                </c:pt>
                <c:pt idx="3">
                  <c:v>42292.0</c:v>
                </c:pt>
                <c:pt idx="4">
                  <c:v>42293.0</c:v>
                </c:pt>
                <c:pt idx="5">
                  <c:v>42294.0</c:v>
                </c:pt>
                <c:pt idx="6">
                  <c:v>42295.0</c:v>
                </c:pt>
                <c:pt idx="7">
                  <c:v>42296.0</c:v>
                </c:pt>
                <c:pt idx="8">
                  <c:v>42297.0</c:v>
                </c:pt>
                <c:pt idx="9">
                  <c:v>42298.0</c:v>
                </c:pt>
                <c:pt idx="10">
                  <c:v>42299.0</c:v>
                </c:pt>
                <c:pt idx="11">
                  <c:v>42300.0</c:v>
                </c:pt>
                <c:pt idx="12">
                  <c:v>42301.0</c:v>
                </c:pt>
                <c:pt idx="13">
                  <c:v>42302.0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0.25</c:v>
                </c:pt>
                <c:pt idx="4">
                  <c:v>3.75</c:v>
                </c:pt>
                <c:pt idx="5">
                  <c:v>0.0</c:v>
                </c:pt>
                <c:pt idx="6">
                  <c:v>1.0</c:v>
                </c:pt>
                <c:pt idx="7">
                  <c:v>4.517</c:v>
                </c:pt>
                <c:pt idx="8">
                  <c:v>0.483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433800"/>
        <c:axId val="21074402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0.0625</c:v>
                </c:pt>
                <c:pt idx="4">
                  <c:v>0.8</c:v>
                </c:pt>
                <c:pt idx="5">
                  <c:v>0.666666666666667</c:v>
                </c:pt>
                <c:pt idx="6">
                  <c:v>0.714285714285714</c:v>
                </c:pt>
                <c:pt idx="7">
                  <c:v>1.189625</c:v>
                </c:pt>
                <c:pt idx="8">
                  <c:v>1.111111111111111</c:v>
                </c:pt>
                <c:pt idx="9">
                  <c:v>1.0</c:v>
                </c:pt>
                <c:pt idx="10">
                  <c:v>0.909090909090909</c:v>
                </c:pt>
                <c:pt idx="11">
                  <c:v>0.833333333333333</c:v>
                </c:pt>
                <c:pt idx="12">
                  <c:v>0.769230769230769</c:v>
                </c:pt>
                <c:pt idx="13">
                  <c:v>1.107142857142857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433800"/>
        <c:axId val="2107440280"/>
      </c:lineChart>
      <c:catAx>
        <c:axId val="2107433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440280"/>
        <c:crosses val="autoZero"/>
        <c:auto val="1"/>
        <c:lblAlgn val="ctr"/>
        <c:lblOffset val="100"/>
        <c:noMultiLvlLbl val="1"/>
      </c:catAx>
      <c:valAx>
        <c:axId val="210744028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4338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42289.0</c:v>
                </c:pt>
                <c:pt idx="1">
                  <c:v>42290.0</c:v>
                </c:pt>
                <c:pt idx="2">
                  <c:v>42291.0</c:v>
                </c:pt>
                <c:pt idx="3">
                  <c:v>42292.0</c:v>
                </c:pt>
                <c:pt idx="4">
                  <c:v>42293.0</c:v>
                </c:pt>
                <c:pt idx="5">
                  <c:v>42294.0</c:v>
                </c:pt>
                <c:pt idx="6">
                  <c:v>42295.0</c:v>
                </c:pt>
                <c:pt idx="7">
                  <c:v>42296.0</c:v>
                </c:pt>
                <c:pt idx="8">
                  <c:v>42297.0</c:v>
                </c:pt>
                <c:pt idx="9">
                  <c:v>42298.0</c:v>
                </c:pt>
                <c:pt idx="10">
                  <c:v>42299.0</c:v>
                </c:pt>
                <c:pt idx="11">
                  <c:v>42300.0</c:v>
                </c:pt>
                <c:pt idx="12">
                  <c:v>42301.0</c:v>
                </c:pt>
                <c:pt idx="13">
                  <c:v>42302.0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0.0</c:v>
                </c:pt>
                <c:pt idx="7">
                  <c:v>2.0</c:v>
                </c:pt>
                <c:pt idx="8">
                  <c:v>6.0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4.003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494904"/>
        <c:axId val="210750138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0.333333333333333</c:v>
                </c:pt>
                <c:pt idx="6">
                  <c:v>0.285714285714286</c:v>
                </c:pt>
                <c:pt idx="7">
                  <c:v>0.5</c:v>
                </c:pt>
                <c:pt idx="8">
                  <c:v>1.111111111111111</c:v>
                </c:pt>
                <c:pt idx="9">
                  <c:v>1.0</c:v>
                </c:pt>
                <c:pt idx="10">
                  <c:v>0.909090909090909</c:v>
                </c:pt>
                <c:pt idx="11">
                  <c:v>0.833333333333333</c:v>
                </c:pt>
                <c:pt idx="12">
                  <c:v>0.769230769230769</c:v>
                </c:pt>
                <c:pt idx="13">
                  <c:v>1.000214285714286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494904"/>
        <c:axId val="2107501384"/>
      </c:lineChart>
      <c:catAx>
        <c:axId val="2107494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501384"/>
        <c:crosses val="autoZero"/>
        <c:auto val="1"/>
        <c:lblAlgn val="ctr"/>
        <c:lblOffset val="100"/>
        <c:noMultiLvlLbl val="1"/>
      </c:catAx>
      <c:valAx>
        <c:axId val="21075013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49490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42289.0</c:v>
                </c:pt>
                <c:pt idx="1">
                  <c:v>42290.0</c:v>
                </c:pt>
                <c:pt idx="2">
                  <c:v>42291.0</c:v>
                </c:pt>
                <c:pt idx="3">
                  <c:v>42292.0</c:v>
                </c:pt>
                <c:pt idx="4">
                  <c:v>42293.0</c:v>
                </c:pt>
                <c:pt idx="5">
                  <c:v>42294.0</c:v>
                </c:pt>
                <c:pt idx="6">
                  <c:v>42295.0</c:v>
                </c:pt>
                <c:pt idx="7">
                  <c:v>42296.0</c:v>
                </c:pt>
                <c:pt idx="8">
                  <c:v>42297.0</c:v>
                </c:pt>
                <c:pt idx="9">
                  <c:v>42298.0</c:v>
                </c:pt>
                <c:pt idx="10">
                  <c:v>42299.0</c:v>
                </c:pt>
                <c:pt idx="11">
                  <c:v>42300.0</c:v>
                </c:pt>
                <c:pt idx="12">
                  <c:v>42301.0</c:v>
                </c:pt>
                <c:pt idx="13">
                  <c:v>42302.0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5.067</c:v>
                </c:pt>
                <c:pt idx="7">
                  <c:v>0.5</c:v>
                </c:pt>
                <c:pt idx="8">
                  <c:v>0.0</c:v>
                </c:pt>
                <c:pt idx="9">
                  <c:v>0.0</c:v>
                </c:pt>
                <c:pt idx="10">
                  <c:v>3.0</c:v>
                </c:pt>
                <c:pt idx="11">
                  <c:v>0.0</c:v>
                </c:pt>
                <c:pt idx="12">
                  <c:v>2.0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555944"/>
        <c:axId val="210756242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0.723857142857143</c:v>
                </c:pt>
                <c:pt idx="7">
                  <c:v>0.695875</c:v>
                </c:pt>
                <c:pt idx="8">
                  <c:v>0.618555555555555</c:v>
                </c:pt>
                <c:pt idx="9">
                  <c:v>0.5567</c:v>
                </c:pt>
                <c:pt idx="10">
                  <c:v>0.778818181818182</c:v>
                </c:pt>
                <c:pt idx="11">
                  <c:v>0.713916666666667</c:v>
                </c:pt>
                <c:pt idx="12">
                  <c:v>0.812846153846154</c:v>
                </c:pt>
                <c:pt idx="13">
                  <c:v>0.754785714285714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555944"/>
        <c:axId val="2107562424"/>
      </c:lineChart>
      <c:catAx>
        <c:axId val="2107555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562424"/>
        <c:crosses val="autoZero"/>
        <c:auto val="1"/>
        <c:lblAlgn val="ctr"/>
        <c:lblOffset val="100"/>
        <c:noMultiLvlLbl val="1"/>
      </c:catAx>
      <c:valAx>
        <c:axId val="210756242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55594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42289.0</c:v>
                </c:pt>
                <c:pt idx="1">
                  <c:v>42290.0</c:v>
                </c:pt>
                <c:pt idx="2">
                  <c:v>42291.0</c:v>
                </c:pt>
                <c:pt idx="3">
                  <c:v>42292.0</c:v>
                </c:pt>
                <c:pt idx="4">
                  <c:v>42293.0</c:v>
                </c:pt>
                <c:pt idx="5">
                  <c:v>42294.0</c:v>
                </c:pt>
                <c:pt idx="6">
                  <c:v>42295.0</c:v>
                </c:pt>
                <c:pt idx="7">
                  <c:v>42296.0</c:v>
                </c:pt>
                <c:pt idx="8">
                  <c:v>42297.0</c:v>
                </c:pt>
                <c:pt idx="9">
                  <c:v>42298.0</c:v>
                </c:pt>
                <c:pt idx="10">
                  <c:v>42299.0</c:v>
                </c:pt>
                <c:pt idx="11">
                  <c:v>42300.0</c:v>
                </c:pt>
                <c:pt idx="12">
                  <c:v>42301.0</c:v>
                </c:pt>
                <c:pt idx="13">
                  <c:v>42302.0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617064"/>
        <c:axId val="210700415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17064"/>
        <c:axId val="2107004152"/>
      </c:lineChart>
      <c:catAx>
        <c:axId val="2107617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004152"/>
        <c:crosses val="autoZero"/>
        <c:auto val="1"/>
        <c:lblAlgn val="ctr"/>
        <c:lblOffset val="100"/>
        <c:noMultiLvlLbl val="1"/>
      </c:catAx>
      <c:valAx>
        <c:axId val="210700415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61706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42303.0</c:v>
                </c:pt>
                <c:pt idx="1">
                  <c:v>42304.0</c:v>
                </c:pt>
                <c:pt idx="2">
                  <c:v>42305.0</c:v>
                </c:pt>
                <c:pt idx="3">
                  <c:v>42306.0</c:v>
                </c:pt>
                <c:pt idx="4">
                  <c:v>42307.0</c:v>
                </c:pt>
                <c:pt idx="5">
                  <c:v>42308.0</c:v>
                </c:pt>
                <c:pt idx="6">
                  <c:v>42309.0</c:v>
                </c:pt>
                <c:pt idx="7">
                  <c:v>42310.0</c:v>
                </c:pt>
                <c:pt idx="8">
                  <c:v>42311.0</c:v>
                </c:pt>
                <c:pt idx="9">
                  <c:v>42312.0</c:v>
                </c:pt>
                <c:pt idx="10">
                  <c:v>42313.0</c:v>
                </c:pt>
                <c:pt idx="11">
                  <c:v>42314.0</c:v>
                </c:pt>
                <c:pt idx="12">
                  <c:v>42315.0</c:v>
                </c:pt>
                <c:pt idx="13">
                  <c:v>42316.0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3.0</c:v>
                </c:pt>
                <c:pt idx="3">
                  <c:v>0.0</c:v>
                </c:pt>
                <c:pt idx="4">
                  <c:v>4.0</c:v>
                </c:pt>
                <c:pt idx="5">
                  <c:v>2.0</c:v>
                </c:pt>
                <c:pt idx="6">
                  <c:v>9.0</c:v>
                </c:pt>
                <c:pt idx="7">
                  <c:v>4.0</c:v>
                </c:pt>
                <c:pt idx="8">
                  <c:v>6.0</c:v>
                </c:pt>
                <c:pt idx="9">
                  <c:v>5.0</c:v>
                </c:pt>
                <c:pt idx="10">
                  <c:v>0.0</c:v>
                </c:pt>
                <c:pt idx="11">
                  <c:v>0.0</c:v>
                </c:pt>
                <c:pt idx="12">
                  <c:v>2.0</c:v>
                </c:pt>
                <c:pt idx="13">
                  <c:v>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340328"/>
        <c:axId val="211134680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5.0</c:v>
                </c:pt>
                <c:pt idx="2">
                  <c:v>4.333333333333333</c:v>
                </c:pt>
                <c:pt idx="3">
                  <c:v>3.25</c:v>
                </c:pt>
                <c:pt idx="4">
                  <c:v>3.4</c:v>
                </c:pt>
                <c:pt idx="5">
                  <c:v>3.166666666666667</c:v>
                </c:pt>
                <c:pt idx="6">
                  <c:v>4.0</c:v>
                </c:pt>
                <c:pt idx="7">
                  <c:v>4.0</c:v>
                </c:pt>
                <c:pt idx="8">
                  <c:v>4.222222222222222</c:v>
                </c:pt>
                <c:pt idx="9">
                  <c:v>4.300000000000001</c:v>
                </c:pt>
                <c:pt idx="10">
                  <c:v>3.909090909090909</c:v>
                </c:pt>
                <c:pt idx="11">
                  <c:v>3.583333333333333</c:v>
                </c:pt>
                <c:pt idx="12">
                  <c:v>3.461538461538462</c:v>
                </c:pt>
                <c:pt idx="13">
                  <c:v>3.571428571428571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340328"/>
        <c:axId val="2111346808"/>
      </c:lineChart>
      <c:catAx>
        <c:axId val="2111340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346808"/>
        <c:crosses val="autoZero"/>
        <c:auto val="0"/>
        <c:lblAlgn val="ctr"/>
        <c:lblOffset val="100"/>
        <c:noMultiLvlLbl val="1"/>
      </c:catAx>
      <c:valAx>
        <c:axId val="211134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34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42303.0</c:v>
                </c:pt>
                <c:pt idx="1">
                  <c:v>42304.0</c:v>
                </c:pt>
                <c:pt idx="2">
                  <c:v>42305.0</c:v>
                </c:pt>
                <c:pt idx="3">
                  <c:v>42306.0</c:v>
                </c:pt>
                <c:pt idx="4">
                  <c:v>42307.0</c:v>
                </c:pt>
                <c:pt idx="5">
                  <c:v>42308.0</c:v>
                </c:pt>
                <c:pt idx="6">
                  <c:v>42309.0</c:v>
                </c:pt>
                <c:pt idx="7">
                  <c:v>42310.0</c:v>
                </c:pt>
                <c:pt idx="8">
                  <c:v>42311.0</c:v>
                </c:pt>
                <c:pt idx="9">
                  <c:v>42312.0</c:v>
                </c:pt>
                <c:pt idx="10">
                  <c:v>42313.0</c:v>
                </c:pt>
                <c:pt idx="11">
                  <c:v>42314.0</c:v>
                </c:pt>
                <c:pt idx="12">
                  <c:v>42315.0</c:v>
                </c:pt>
                <c:pt idx="13">
                  <c:v>42316.0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5.0</c:v>
                </c:pt>
                <c:pt idx="7">
                  <c:v>3.0</c:v>
                </c:pt>
                <c:pt idx="8">
                  <c:v>1.0</c:v>
                </c:pt>
                <c:pt idx="9">
                  <c:v>3.0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404760"/>
        <c:axId val="211141124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2.0</c:v>
                </c:pt>
                <c:pt idx="3">
                  <c:v>1.5</c:v>
                </c:pt>
                <c:pt idx="4">
                  <c:v>1.2</c:v>
                </c:pt>
                <c:pt idx="5">
                  <c:v>1.0</c:v>
                </c:pt>
                <c:pt idx="6">
                  <c:v>1.571428571428571</c:v>
                </c:pt>
                <c:pt idx="7">
                  <c:v>1.75</c:v>
                </c:pt>
                <c:pt idx="8">
                  <c:v>1.666666666666667</c:v>
                </c:pt>
                <c:pt idx="9">
                  <c:v>1.8</c:v>
                </c:pt>
                <c:pt idx="10">
                  <c:v>1.636363636363636</c:v>
                </c:pt>
                <c:pt idx="11">
                  <c:v>1.5</c:v>
                </c:pt>
                <c:pt idx="12">
                  <c:v>1.384615384615385</c:v>
                </c:pt>
                <c:pt idx="13">
                  <c:v>1.428571428571429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04760"/>
        <c:axId val="2111411240"/>
      </c:lineChart>
      <c:catAx>
        <c:axId val="211140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411240"/>
        <c:crosses val="autoZero"/>
        <c:auto val="1"/>
        <c:lblAlgn val="ctr"/>
        <c:lblOffset val="100"/>
        <c:noMultiLvlLbl val="1"/>
      </c:catAx>
      <c:valAx>
        <c:axId val="211141124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40476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42303.0</c:v>
                </c:pt>
                <c:pt idx="1">
                  <c:v>42304.0</c:v>
                </c:pt>
                <c:pt idx="2">
                  <c:v>42305.0</c:v>
                </c:pt>
                <c:pt idx="3">
                  <c:v>42306.0</c:v>
                </c:pt>
                <c:pt idx="4">
                  <c:v>42307.0</c:v>
                </c:pt>
                <c:pt idx="5">
                  <c:v>42308.0</c:v>
                </c:pt>
                <c:pt idx="6">
                  <c:v>42309.0</c:v>
                </c:pt>
                <c:pt idx="7">
                  <c:v>42310.0</c:v>
                </c:pt>
                <c:pt idx="8">
                  <c:v>42311.0</c:v>
                </c:pt>
                <c:pt idx="9">
                  <c:v>42312.0</c:v>
                </c:pt>
                <c:pt idx="10">
                  <c:v>42313.0</c:v>
                </c:pt>
                <c:pt idx="11">
                  <c:v>42314.0</c:v>
                </c:pt>
                <c:pt idx="12">
                  <c:v>42315.0</c:v>
                </c:pt>
                <c:pt idx="13">
                  <c:v>42316.0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0.0</c:v>
                </c:pt>
                <c:pt idx="1">
                  <c:v>5.0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4.0</c:v>
                </c:pt>
                <c:pt idx="7">
                  <c:v>0.0</c:v>
                </c:pt>
                <c:pt idx="8">
                  <c:v>5.0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465800"/>
        <c:axId val="211147228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0.0</c:v>
                </c:pt>
                <c:pt idx="1">
                  <c:v>2.5</c:v>
                </c:pt>
                <c:pt idx="2">
                  <c:v>1.666666666666667</c:v>
                </c:pt>
                <c:pt idx="3">
                  <c:v>1.25</c:v>
                </c:pt>
                <c:pt idx="4">
                  <c:v>1.0</c:v>
                </c:pt>
                <c:pt idx="5">
                  <c:v>1.166666666666667</c:v>
                </c:pt>
                <c:pt idx="6">
                  <c:v>1.571428571428571</c:v>
                </c:pt>
                <c:pt idx="7">
                  <c:v>1.375</c:v>
                </c:pt>
                <c:pt idx="8">
                  <c:v>1.777777777777778</c:v>
                </c:pt>
                <c:pt idx="9">
                  <c:v>1.6</c:v>
                </c:pt>
                <c:pt idx="10">
                  <c:v>1.454545454545455</c:v>
                </c:pt>
                <c:pt idx="11">
                  <c:v>1.333333333333333</c:v>
                </c:pt>
                <c:pt idx="12">
                  <c:v>1.230769230769231</c:v>
                </c:pt>
                <c:pt idx="13">
                  <c:v>1.357142857142857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65800"/>
        <c:axId val="2111472280"/>
      </c:lineChart>
      <c:catAx>
        <c:axId val="2111465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472280"/>
        <c:crosses val="autoZero"/>
        <c:auto val="1"/>
        <c:lblAlgn val="ctr"/>
        <c:lblOffset val="100"/>
        <c:noMultiLvlLbl val="1"/>
      </c:catAx>
      <c:valAx>
        <c:axId val="211147228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4658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42303.0</c:v>
                </c:pt>
                <c:pt idx="1">
                  <c:v>42304.0</c:v>
                </c:pt>
                <c:pt idx="2">
                  <c:v>42305.0</c:v>
                </c:pt>
                <c:pt idx="3">
                  <c:v>42306.0</c:v>
                </c:pt>
                <c:pt idx="4">
                  <c:v>42307.0</c:v>
                </c:pt>
                <c:pt idx="5">
                  <c:v>42308.0</c:v>
                </c:pt>
                <c:pt idx="6">
                  <c:v>42309.0</c:v>
                </c:pt>
                <c:pt idx="7">
                  <c:v>42310.0</c:v>
                </c:pt>
                <c:pt idx="8">
                  <c:v>42311.0</c:v>
                </c:pt>
                <c:pt idx="9">
                  <c:v>42312.0</c:v>
                </c:pt>
                <c:pt idx="10">
                  <c:v>42313.0</c:v>
                </c:pt>
                <c:pt idx="11">
                  <c:v>42314.0</c:v>
                </c:pt>
                <c:pt idx="12">
                  <c:v>42315.0</c:v>
                </c:pt>
                <c:pt idx="13">
                  <c:v>42316.0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0.0</c:v>
                </c:pt>
                <c:pt idx="1">
                  <c:v>2.0</c:v>
                </c:pt>
                <c:pt idx="2">
                  <c:v>0.0</c:v>
                </c:pt>
                <c:pt idx="3">
                  <c:v>0.0</c:v>
                </c:pt>
                <c:pt idx="4">
                  <c:v>4.0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0.0</c:v>
                </c:pt>
                <c:pt idx="9">
                  <c:v>2.0</c:v>
                </c:pt>
                <c:pt idx="10">
                  <c:v>0.0</c:v>
                </c:pt>
                <c:pt idx="11">
                  <c:v>0.0</c:v>
                </c:pt>
                <c:pt idx="12">
                  <c:v>2.0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527048"/>
        <c:axId val="21115335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0.666666666666667</c:v>
                </c:pt>
                <c:pt idx="3">
                  <c:v>0.5</c:v>
                </c:pt>
                <c:pt idx="4">
                  <c:v>1.2</c:v>
                </c:pt>
                <c:pt idx="5">
                  <c:v>1.0</c:v>
                </c:pt>
                <c:pt idx="6">
                  <c:v>0.857142857142857</c:v>
                </c:pt>
                <c:pt idx="7">
                  <c:v>0.875</c:v>
                </c:pt>
                <c:pt idx="8">
                  <c:v>0.777777777777778</c:v>
                </c:pt>
                <c:pt idx="9">
                  <c:v>0.9</c:v>
                </c:pt>
                <c:pt idx="10">
                  <c:v>0.818181818181818</c:v>
                </c:pt>
                <c:pt idx="11">
                  <c:v>0.75</c:v>
                </c:pt>
                <c:pt idx="12">
                  <c:v>0.846153846153846</c:v>
                </c:pt>
                <c:pt idx="13">
                  <c:v>0.785714285714286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527048"/>
        <c:axId val="2111533528"/>
      </c:lineChart>
      <c:catAx>
        <c:axId val="2111527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33528"/>
        <c:crosses val="autoZero"/>
        <c:auto val="1"/>
        <c:lblAlgn val="ctr"/>
        <c:lblOffset val="100"/>
        <c:noMultiLvlLbl val="1"/>
      </c:catAx>
      <c:valAx>
        <c:axId val="21115335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270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42303.0</c:v>
                </c:pt>
                <c:pt idx="1">
                  <c:v>42304.0</c:v>
                </c:pt>
                <c:pt idx="2">
                  <c:v>42305.0</c:v>
                </c:pt>
                <c:pt idx="3">
                  <c:v>42306.0</c:v>
                </c:pt>
                <c:pt idx="4">
                  <c:v>42307.0</c:v>
                </c:pt>
                <c:pt idx="5">
                  <c:v>42308.0</c:v>
                </c:pt>
                <c:pt idx="6">
                  <c:v>42309.0</c:v>
                </c:pt>
                <c:pt idx="7">
                  <c:v>42310.0</c:v>
                </c:pt>
                <c:pt idx="8">
                  <c:v>42311.0</c:v>
                </c:pt>
                <c:pt idx="9">
                  <c:v>42312.0</c:v>
                </c:pt>
                <c:pt idx="10">
                  <c:v>42313.0</c:v>
                </c:pt>
                <c:pt idx="11">
                  <c:v>42314.0</c:v>
                </c:pt>
                <c:pt idx="12">
                  <c:v>42315.0</c:v>
                </c:pt>
                <c:pt idx="13">
                  <c:v>42316.0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0327288"/>
        <c:axId val="211033376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0327288"/>
        <c:axId val="2110333768"/>
      </c:lineChart>
      <c:catAx>
        <c:axId val="2110327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333768"/>
        <c:crosses val="autoZero"/>
        <c:auto val="1"/>
        <c:lblAlgn val="ctr"/>
        <c:lblOffset val="100"/>
        <c:noMultiLvlLbl val="1"/>
      </c:catAx>
      <c:valAx>
        <c:axId val="211033376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3272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42317.0</c:v>
                </c:pt>
                <c:pt idx="1">
                  <c:v>42318.0</c:v>
                </c:pt>
                <c:pt idx="2">
                  <c:v>42319.0</c:v>
                </c:pt>
                <c:pt idx="3">
                  <c:v>42320.0</c:v>
                </c:pt>
                <c:pt idx="4">
                  <c:v>42321.0</c:v>
                </c:pt>
                <c:pt idx="5">
                  <c:v>42322.0</c:v>
                </c:pt>
                <c:pt idx="6">
                  <c:v>42323.0</c:v>
                </c:pt>
                <c:pt idx="7">
                  <c:v>42324.0</c:v>
                </c:pt>
                <c:pt idx="8">
                  <c:v>42325.0</c:v>
                </c:pt>
                <c:pt idx="9">
                  <c:v>42326.0</c:v>
                </c:pt>
                <c:pt idx="10">
                  <c:v>42327.0</c:v>
                </c:pt>
                <c:pt idx="11">
                  <c:v>42328.0</c:v>
                </c:pt>
                <c:pt idx="12">
                  <c:v>42329.0</c:v>
                </c:pt>
                <c:pt idx="13">
                  <c:v>42330.0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6.0</c:v>
                </c:pt>
                <c:pt idx="7">
                  <c:v>9.0</c:v>
                </c:pt>
                <c:pt idx="8">
                  <c:v>4.0</c:v>
                </c:pt>
                <c:pt idx="9">
                  <c:v>2.0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584520"/>
        <c:axId val="2111591000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0.666666666666667</c:v>
                </c:pt>
                <c:pt idx="6">
                  <c:v>1.428571428571428</c:v>
                </c:pt>
                <c:pt idx="7">
                  <c:v>2.375</c:v>
                </c:pt>
                <c:pt idx="8">
                  <c:v>2.555555555555556</c:v>
                </c:pt>
                <c:pt idx="9">
                  <c:v>2.55</c:v>
                </c:pt>
                <c:pt idx="10">
                  <c:v>2.318181818181818</c:v>
                </c:pt>
                <c:pt idx="11">
                  <c:v>2.125</c:v>
                </c:pt>
                <c:pt idx="12">
                  <c:v>1.961538461538461</c:v>
                </c:pt>
                <c:pt idx="13">
                  <c:v>1.821428571428571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584520"/>
        <c:axId val="2111591000"/>
      </c:lineChart>
      <c:catAx>
        <c:axId val="2111584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91000"/>
        <c:crosses val="autoZero"/>
        <c:auto val="0"/>
        <c:lblAlgn val="ctr"/>
        <c:lblOffset val="100"/>
        <c:noMultiLvlLbl val="1"/>
      </c:catAx>
      <c:valAx>
        <c:axId val="211159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84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42317.0</c:v>
                </c:pt>
                <c:pt idx="1">
                  <c:v>42318.0</c:v>
                </c:pt>
                <c:pt idx="2">
                  <c:v>42319.0</c:v>
                </c:pt>
                <c:pt idx="3">
                  <c:v>42320.0</c:v>
                </c:pt>
                <c:pt idx="4">
                  <c:v>42321.0</c:v>
                </c:pt>
                <c:pt idx="5">
                  <c:v>42322.0</c:v>
                </c:pt>
                <c:pt idx="6">
                  <c:v>42323.0</c:v>
                </c:pt>
                <c:pt idx="7">
                  <c:v>42324.0</c:v>
                </c:pt>
                <c:pt idx="8">
                  <c:v>42325.0</c:v>
                </c:pt>
                <c:pt idx="9">
                  <c:v>42326.0</c:v>
                </c:pt>
                <c:pt idx="10">
                  <c:v>42327.0</c:v>
                </c:pt>
                <c:pt idx="11">
                  <c:v>42328.0</c:v>
                </c:pt>
                <c:pt idx="12">
                  <c:v>42329.0</c:v>
                </c:pt>
                <c:pt idx="13">
                  <c:v>42330.0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6.0</c:v>
                </c:pt>
                <c:pt idx="7">
                  <c:v>5.0</c:v>
                </c:pt>
                <c:pt idx="8">
                  <c:v>4.0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648952"/>
        <c:axId val="211165543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0.857142857142857</c:v>
                </c:pt>
                <c:pt idx="7">
                  <c:v>1.375</c:v>
                </c:pt>
                <c:pt idx="8">
                  <c:v>1.666666666666667</c:v>
                </c:pt>
                <c:pt idx="9">
                  <c:v>1.5</c:v>
                </c:pt>
                <c:pt idx="10">
                  <c:v>1.363636363636363</c:v>
                </c:pt>
                <c:pt idx="11">
                  <c:v>1.25</c:v>
                </c:pt>
                <c:pt idx="12">
                  <c:v>1.153846153846154</c:v>
                </c:pt>
                <c:pt idx="13">
                  <c:v>1.071428571428571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648952"/>
        <c:axId val="2111655432"/>
      </c:lineChart>
      <c:catAx>
        <c:axId val="211164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55432"/>
        <c:crosses val="autoZero"/>
        <c:auto val="1"/>
        <c:lblAlgn val="ctr"/>
        <c:lblOffset val="100"/>
        <c:noMultiLvlLbl val="1"/>
      </c:catAx>
      <c:valAx>
        <c:axId val="21116554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4895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42317.0</c:v>
                </c:pt>
                <c:pt idx="1">
                  <c:v>42318.0</c:v>
                </c:pt>
                <c:pt idx="2">
                  <c:v>42319.0</c:v>
                </c:pt>
                <c:pt idx="3">
                  <c:v>42320.0</c:v>
                </c:pt>
                <c:pt idx="4">
                  <c:v>42321.0</c:v>
                </c:pt>
                <c:pt idx="5">
                  <c:v>42322.0</c:v>
                </c:pt>
                <c:pt idx="6">
                  <c:v>42323.0</c:v>
                </c:pt>
                <c:pt idx="7">
                  <c:v>42324.0</c:v>
                </c:pt>
                <c:pt idx="8">
                  <c:v>42325.0</c:v>
                </c:pt>
                <c:pt idx="9">
                  <c:v>42326.0</c:v>
                </c:pt>
                <c:pt idx="10">
                  <c:v>42327.0</c:v>
                </c:pt>
                <c:pt idx="11">
                  <c:v>42328.0</c:v>
                </c:pt>
                <c:pt idx="12">
                  <c:v>42329.0</c:v>
                </c:pt>
                <c:pt idx="13">
                  <c:v>42330.0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0.0</c:v>
                </c:pt>
                <c:pt idx="7">
                  <c:v>4.0</c:v>
                </c:pt>
                <c:pt idx="8">
                  <c:v>0.0</c:v>
                </c:pt>
                <c:pt idx="9">
                  <c:v>2.0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709608"/>
        <c:axId val="21117160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0.333333333333333</c:v>
                </c:pt>
                <c:pt idx="6">
                  <c:v>0.285714285714286</c:v>
                </c:pt>
                <c:pt idx="7">
                  <c:v>0.75</c:v>
                </c:pt>
                <c:pt idx="8">
                  <c:v>0.666666666666667</c:v>
                </c:pt>
                <c:pt idx="9">
                  <c:v>0.8</c:v>
                </c:pt>
                <c:pt idx="10">
                  <c:v>0.727272727272727</c:v>
                </c:pt>
                <c:pt idx="11">
                  <c:v>0.666666666666667</c:v>
                </c:pt>
                <c:pt idx="12">
                  <c:v>0.615384615384615</c:v>
                </c:pt>
                <c:pt idx="13">
                  <c:v>0.571428571428571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709608"/>
        <c:axId val="2111716088"/>
      </c:lineChart>
      <c:catAx>
        <c:axId val="2111709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16088"/>
        <c:crosses val="autoZero"/>
        <c:auto val="1"/>
        <c:lblAlgn val="ctr"/>
        <c:lblOffset val="100"/>
        <c:noMultiLvlLbl val="1"/>
      </c:catAx>
      <c:valAx>
        <c:axId val="211171608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0960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42317.0</c:v>
                </c:pt>
                <c:pt idx="1">
                  <c:v>42318.0</c:v>
                </c:pt>
                <c:pt idx="2">
                  <c:v>42319.0</c:v>
                </c:pt>
                <c:pt idx="3">
                  <c:v>42320.0</c:v>
                </c:pt>
                <c:pt idx="4">
                  <c:v>42321.0</c:v>
                </c:pt>
                <c:pt idx="5">
                  <c:v>42322.0</c:v>
                </c:pt>
                <c:pt idx="6">
                  <c:v>42323.0</c:v>
                </c:pt>
                <c:pt idx="7">
                  <c:v>42324.0</c:v>
                </c:pt>
                <c:pt idx="8">
                  <c:v>42325.0</c:v>
                </c:pt>
                <c:pt idx="9">
                  <c:v>42326.0</c:v>
                </c:pt>
                <c:pt idx="10">
                  <c:v>42327.0</c:v>
                </c:pt>
                <c:pt idx="11">
                  <c:v>42328.0</c:v>
                </c:pt>
                <c:pt idx="12">
                  <c:v>42329.0</c:v>
                </c:pt>
                <c:pt idx="13">
                  <c:v>42330.0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770648"/>
        <c:axId val="211177712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0.333333333333333</c:v>
                </c:pt>
                <c:pt idx="6">
                  <c:v>0.285714285714286</c:v>
                </c:pt>
                <c:pt idx="7">
                  <c:v>0.25</c:v>
                </c:pt>
                <c:pt idx="8">
                  <c:v>0.222222222222222</c:v>
                </c:pt>
                <c:pt idx="9">
                  <c:v>0.25</c:v>
                </c:pt>
                <c:pt idx="10">
                  <c:v>0.227272727272727</c:v>
                </c:pt>
                <c:pt idx="11">
                  <c:v>0.208333333333333</c:v>
                </c:pt>
                <c:pt idx="12">
                  <c:v>0.192307692307692</c:v>
                </c:pt>
                <c:pt idx="13">
                  <c:v>0.178571428571429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770648"/>
        <c:axId val="2111777128"/>
      </c:lineChart>
      <c:catAx>
        <c:axId val="2111770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77128"/>
        <c:crosses val="autoZero"/>
        <c:auto val="1"/>
        <c:lblAlgn val="ctr"/>
        <c:lblOffset val="100"/>
        <c:noMultiLvlLbl val="1"/>
      </c:catAx>
      <c:valAx>
        <c:axId val="21117771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706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42317.0</c:v>
                </c:pt>
                <c:pt idx="1">
                  <c:v>42318.0</c:v>
                </c:pt>
                <c:pt idx="2">
                  <c:v>42319.0</c:v>
                </c:pt>
                <c:pt idx="3">
                  <c:v>42320.0</c:v>
                </c:pt>
                <c:pt idx="4">
                  <c:v>42321.0</c:v>
                </c:pt>
                <c:pt idx="5">
                  <c:v>42322.0</c:v>
                </c:pt>
                <c:pt idx="6">
                  <c:v>42323.0</c:v>
                </c:pt>
                <c:pt idx="7">
                  <c:v>42324.0</c:v>
                </c:pt>
                <c:pt idx="8">
                  <c:v>42325.0</c:v>
                </c:pt>
                <c:pt idx="9">
                  <c:v>42326.0</c:v>
                </c:pt>
                <c:pt idx="10">
                  <c:v>42327.0</c:v>
                </c:pt>
                <c:pt idx="11">
                  <c:v>42328.0</c:v>
                </c:pt>
                <c:pt idx="12">
                  <c:v>42329.0</c:v>
                </c:pt>
                <c:pt idx="13">
                  <c:v>42330.0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184584"/>
        <c:axId val="211117805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184584"/>
        <c:axId val="2111178056"/>
      </c:lineChart>
      <c:catAx>
        <c:axId val="2111184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78056"/>
        <c:crosses val="autoZero"/>
        <c:auto val="1"/>
        <c:lblAlgn val="ctr"/>
        <c:lblOffset val="100"/>
        <c:noMultiLvlLbl val="1"/>
      </c:catAx>
      <c:valAx>
        <c:axId val="211117805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845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42380.0</c:v>
                </c:pt>
                <c:pt idx="1">
                  <c:v>42381.0</c:v>
                </c:pt>
                <c:pt idx="2">
                  <c:v>42382.0</c:v>
                </c:pt>
                <c:pt idx="3">
                  <c:v>42383.0</c:v>
                </c:pt>
                <c:pt idx="4">
                  <c:v>42384.0</c:v>
                </c:pt>
                <c:pt idx="5">
                  <c:v>42385.0</c:v>
                </c:pt>
                <c:pt idx="6">
                  <c:v>42386.0</c:v>
                </c:pt>
                <c:pt idx="7">
                  <c:v>42387.0</c:v>
                </c:pt>
                <c:pt idx="8">
                  <c:v>42388.0</c:v>
                </c:pt>
                <c:pt idx="9">
                  <c:v>42389.0</c:v>
                </c:pt>
                <c:pt idx="10">
                  <c:v>42390.0</c:v>
                </c:pt>
                <c:pt idx="11">
                  <c:v>42391.0</c:v>
                </c:pt>
                <c:pt idx="12">
                  <c:v>42392.0</c:v>
                </c:pt>
                <c:pt idx="13">
                  <c:v>42393.0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7.5</c:v>
                </c:pt>
                <c:pt idx="3">
                  <c:v>9.0</c:v>
                </c:pt>
                <c:pt idx="4">
                  <c:v>0.0</c:v>
                </c:pt>
                <c:pt idx="5">
                  <c:v>4.0</c:v>
                </c:pt>
                <c:pt idx="6">
                  <c:v>3.0</c:v>
                </c:pt>
                <c:pt idx="7">
                  <c:v>3.0</c:v>
                </c:pt>
                <c:pt idx="8">
                  <c:v>2.0</c:v>
                </c:pt>
                <c:pt idx="9">
                  <c:v>3.0</c:v>
                </c:pt>
                <c:pt idx="10">
                  <c:v>4.0</c:v>
                </c:pt>
                <c:pt idx="11">
                  <c:v>2.0</c:v>
                </c:pt>
                <c:pt idx="12">
                  <c:v>1.0</c:v>
                </c:pt>
                <c:pt idx="13">
                  <c:v>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103752"/>
        <c:axId val="211109722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2.5</c:v>
                </c:pt>
                <c:pt idx="3">
                  <c:v>4.125</c:v>
                </c:pt>
                <c:pt idx="4">
                  <c:v>3.3</c:v>
                </c:pt>
                <c:pt idx="5">
                  <c:v>3.416666666666667</c:v>
                </c:pt>
                <c:pt idx="6">
                  <c:v>3.357142857142857</c:v>
                </c:pt>
                <c:pt idx="7">
                  <c:v>3.3125</c:v>
                </c:pt>
                <c:pt idx="8">
                  <c:v>3.166666666666667</c:v>
                </c:pt>
                <c:pt idx="9">
                  <c:v>3.15</c:v>
                </c:pt>
                <c:pt idx="10">
                  <c:v>3.227272727272727</c:v>
                </c:pt>
                <c:pt idx="11">
                  <c:v>3.125</c:v>
                </c:pt>
                <c:pt idx="12">
                  <c:v>2.961538461538462</c:v>
                </c:pt>
                <c:pt idx="13">
                  <c:v>3.321428571428571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103752"/>
        <c:axId val="2111097224"/>
      </c:lineChart>
      <c:catAx>
        <c:axId val="2111103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97224"/>
        <c:crosses val="autoZero"/>
        <c:auto val="0"/>
        <c:lblAlgn val="ctr"/>
        <c:lblOffset val="100"/>
        <c:noMultiLvlLbl val="1"/>
      </c:catAx>
      <c:valAx>
        <c:axId val="211109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0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42380.0</c:v>
                </c:pt>
                <c:pt idx="1">
                  <c:v>42381.0</c:v>
                </c:pt>
                <c:pt idx="2">
                  <c:v>42382.0</c:v>
                </c:pt>
                <c:pt idx="3">
                  <c:v>42383.0</c:v>
                </c:pt>
                <c:pt idx="4">
                  <c:v>42384.0</c:v>
                </c:pt>
                <c:pt idx="5">
                  <c:v>42385.0</c:v>
                </c:pt>
                <c:pt idx="6">
                  <c:v>42386.0</c:v>
                </c:pt>
                <c:pt idx="7">
                  <c:v>42387.0</c:v>
                </c:pt>
                <c:pt idx="8">
                  <c:v>42388.0</c:v>
                </c:pt>
                <c:pt idx="9">
                  <c:v>42389.0</c:v>
                </c:pt>
                <c:pt idx="10">
                  <c:v>42390.0</c:v>
                </c:pt>
                <c:pt idx="11">
                  <c:v>42391.0</c:v>
                </c:pt>
                <c:pt idx="12">
                  <c:v>42392.0</c:v>
                </c:pt>
                <c:pt idx="13">
                  <c:v>42393.0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1.5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2.0</c:v>
                </c:pt>
                <c:pt idx="11">
                  <c:v>2.0</c:v>
                </c:pt>
                <c:pt idx="12">
                  <c:v>0.0</c:v>
                </c:pt>
                <c:pt idx="13">
                  <c:v>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039320"/>
        <c:axId val="211103279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0.5</c:v>
                </c:pt>
                <c:pt idx="3">
                  <c:v>0.375</c:v>
                </c:pt>
                <c:pt idx="4">
                  <c:v>0.3</c:v>
                </c:pt>
                <c:pt idx="5">
                  <c:v>0.25</c:v>
                </c:pt>
                <c:pt idx="6">
                  <c:v>0.214285714285714</c:v>
                </c:pt>
                <c:pt idx="7">
                  <c:v>0.1875</c:v>
                </c:pt>
                <c:pt idx="8">
                  <c:v>0.166666666666667</c:v>
                </c:pt>
                <c:pt idx="9">
                  <c:v>0.15</c:v>
                </c:pt>
                <c:pt idx="10">
                  <c:v>0.318181818181818</c:v>
                </c:pt>
                <c:pt idx="11">
                  <c:v>0.458333333333333</c:v>
                </c:pt>
                <c:pt idx="12">
                  <c:v>0.423076923076923</c:v>
                </c:pt>
                <c:pt idx="13">
                  <c:v>0.964285714285714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039320"/>
        <c:axId val="2111032792"/>
      </c:lineChart>
      <c:catAx>
        <c:axId val="2111039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32792"/>
        <c:crosses val="autoZero"/>
        <c:auto val="1"/>
        <c:lblAlgn val="ctr"/>
        <c:lblOffset val="100"/>
        <c:noMultiLvlLbl val="1"/>
      </c:catAx>
      <c:valAx>
        <c:axId val="211103279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3932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42380.0</c:v>
                </c:pt>
                <c:pt idx="1">
                  <c:v>42381.0</c:v>
                </c:pt>
                <c:pt idx="2">
                  <c:v>42382.0</c:v>
                </c:pt>
                <c:pt idx="3">
                  <c:v>42383.0</c:v>
                </c:pt>
                <c:pt idx="4">
                  <c:v>42384.0</c:v>
                </c:pt>
                <c:pt idx="5">
                  <c:v>42385.0</c:v>
                </c:pt>
                <c:pt idx="6">
                  <c:v>42386.0</c:v>
                </c:pt>
                <c:pt idx="7">
                  <c:v>42387.0</c:v>
                </c:pt>
                <c:pt idx="8">
                  <c:v>42388.0</c:v>
                </c:pt>
                <c:pt idx="9">
                  <c:v>42389.0</c:v>
                </c:pt>
                <c:pt idx="10">
                  <c:v>42390.0</c:v>
                </c:pt>
                <c:pt idx="11">
                  <c:v>42391.0</c:v>
                </c:pt>
                <c:pt idx="12">
                  <c:v>42392.0</c:v>
                </c:pt>
                <c:pt idx="13">
                  <c:v>42393.0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2.0</c:v>
                </c:pt>
                <c:pt idx="3">
                  <c:v>7.0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3.0</c:v>
                </c:pt>
                <c:pt idx="8">
                  <c:v>0.0</c:v>
                </c:pt>
                <c:pt idx="9">
                  <c:v>3.0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0978664"/>
        <c:axId val="211097213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0.666666666666667</c:v>
                </c:pt>
                <c:pt idx="3">
                  <c:v>2.25</c:v>
                </c:pt>
                <c:pt idx="4">
                  <c:v>1.8</c:v>
                </c:pt>
                <c:pt idx="5">
                  <c:v>1.5</c:v>
                </c:pt>
                <c:pt idx="6">
                  <c:v>1.428571428571429</c:v>
                </c:pt>
                <c:pt idx="7">
                  <c:v>1.625</c:v>
                </c:pt>
                <c:pt idx="8">
                  <c:v>1.444444444444444</c:v>
                </c:pt>
                <c:pt idx="9">
                  <c:v>1.6</c:v>
                </c:pt>
                <c:pt idx="10">
                  <c:v>1.454545454545455</c:v>
                </c:pt>
                <c:pt idx="11">
                  <c:v>1.333333333333333</c:v>
                </c:pt>
                <c:pt idx="12">
                  <c:v>1.230769230769231</c:v>
                </c:pt>
                <c:pt idx="13">
                  <c:v>1.142857142857143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0978664"/>
        <c:axId val="2110972136"/>
      </c:lineChart>
      <c:catAx>
        <c:axId val="2110978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972136"/>
        <c:crosses val="autoZero"/>
        <c:auto val="1"/>
        <c:lblAlgn val="ctr"/>
        <c:lblOffset val="100"/>
        <c:noMultiLvlLbl val="1"/>
      </c:catAx>
      <c:valAx>
        <c:axId val="211097213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97866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42380.0</c:v>
                </c:pt>
                <c:pt idx="1">
                  <c:v>42381.0</c:v>
                </c:pt>
                <c:pt idx="2">
                  <c:v>42382.0</c:v>
                </c:pt>
                <c:pt idx="3">
                  <c:v>42383.0</c:v>
                </c:pt>
                <c:pt idx="4">
                  <c:v>42384.0</c:v>
                </c:pt>
                <c:pt idx="5">
                  <c:v>42385.0</c:v>
                </c:pt>
                <c:pt idx="6">
                  <c:v>42386.0</c:v>
                </c:pt>
                <c:pt idx="7">
                  <c:v>42387.0</c:v>
                </c:pt>
                <c:pt idx="8">
                  <c:v>42388.0</c:v>
                </c:pt>
                <c:pt idx="9">
                  <c:v>42389.0</c:v>
                </c:pt>
                <c:pt idx="10">
                  <c:v>42390.0</c:v>
                </c:pt>
                <c:pt idx="11">
                  <c:v>42391.0</c:v>
                </c:pt>
                <c:pt idx="12">
                  <c:v>42392.0</c:v>
                </c:pt>
                <c:pt idx="13">
                  <c:v>42393.0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4.0</c:v>
                </c:pt>
                <c:pt idx="3">
                  <c:v>2.0</c:v>
                </c:pt>
                <c:pt idx="4">
                  <c:v>0.0</c:v>
                </c:pt>
                <c:pt idx="5">
                  <c:v>4.0</c:v>
                </c:pt>
                <c:pt idx="6">
                  <c:v>2.0</c:v>
                </c:pt>
                <c:pt idx="7">
                  <c:v>0.0</c:v>
                </c:pt>
                <c:pt idx="8">
                  <c:v>2.0</c:v>
                </c:pt>
                <c:pt idx="9">
                  <c:v>0.0</c:v>
                </c:pt>
                <c:pt idx="10">
                  <c:v>2.0</c:v>
                </c:pt>
                <c:pt idx="11">
                  <c:v>0.0</c:v>
                </c:pt>
                <c:pt idx="12">
                  <c:v>1.0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0917080"/>
        <c:axId val="21109105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1.333333333333333</c:v>
                </c:pt>
                <c:pt idx="3">
                  <c:v>1.5</c:v>
                </c:pt>
                <c:pt idx="4">
                  <c:v>1.2</c:v>
                </c:pt>
                <c:pt idx="5">
                  <c:v>1.666666666666667</c:v>
                </c:pt>
                <c:pt idx="6">
                  <c:v>1.714285714285714</c:v>
                </c:pt>
                <c:pt idx="7">
                  <c:v>1.5</c:v>
                </c:pt>
                <c:pt idx="8">
                  <c:v>1.555555555555556</c:v>
                </c:pt>
                <c:pt idx="9">
                  <c:v>1.4</c:v>
                </c:pt>
                <c:pt idx="10">
                  <c:v>1.454545454545455</c:v>
                </c:pt>
                <c:pt idx="11">
                  <c:v>1.333333333333333</c:v>
                </c:pt>
                <c:pt idx="12">
                  <c:v>1.307692307692308</c:v>
                </c:pt>
                <c:pt idx="13">
                  <c:v>1.214285714285714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0917080"/>
        <c:axId val="2110910552"/>
      </c:lineChart>
      <c:catAx>
        <c:axId val="2110917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910552"/>
        <c:crosses val="autoZero"/>
        <c:auto val="1"/>
        <c:lblAlgn val="ctr"/>
        <c:lblOffset val="100"/>
        <c:noMultiLvlLbl val="1"/>
      </c:catAx>
      <c:valAx>
        <c:axId val="211091055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91708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42380.0</c:v>
                </c:pt>
                <c:pt idx="1">
                  <c:v>42381.0</c:v>
                </c:pt>
                <c:pt idx="2">
                  <c:v>42382.0</c:v>
                </c:pt>
                <c:pt idx="3">
                  <c:v>42383.0</c:v>
                </c:pt>
                <c:pt idx="4">
                  <c:v>42384.0</c:v>
                </c:pt>
                <c:pt idx="5">
                  <c:v>42385.0</c:v>
                </c:pt>
                <c:pt idx="6">
                  <c:v>42386.0</c:v>
                </c:pt>
                <c:pt idx="7">
                  <c:v>42387.0</c:v>
                </c:pt>
                <c:pt idx="8">
                  <c:v>42388.0</c:v>
                </c:pt>
                <c:pt idx="9">
                  <c:v>42389.0</c:v>
                </c:pt>
                <c:pt idx="10">
                  <c:v>42390.0</c:v>
                </c:pt>
                <c:pt idx="11">
                  <c:v>42391.0</c:v>
                </c:pt>
                <c:pt idx="12">
                  <c:v>42392.0</c:v>
                </c:pt>
                <c:pt idx="13">
                  <c:v>42393.0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0856520"/>
        <c:axId val="211084999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0856520"/>
        <c:axId val="2110849992"/>
      </c:lineChart>
      <c:catAx>
        <c:axId val="2110856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849992"/>
        <c:crosses val="autoZero"/>
        <c:auto val="1"/>
        <c:lblAlgn val="ctr"/>
        <c:lblOffset val="100"/>
        <c:noMultiLvlLbl val="1"/>
      </c:catAx>
      <c:valAx>
        <c:axId val="211084999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85652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42394.0</c:v>
                </c:pt>
                <c:pt idx="1">
                  <c:v>42395.0</c:v>
                </c:pt>
                <c:pt idx="2">
                  <c:v>42396.0</c:v>
                </c:pt>
                <c:pt idx="3">
                  <c:v>42397.0</c:v>
                </c:pt>
                <c:pt idx="4">
                  <c:v>42398.0</c:v>
                </c:pt>
                <c:pt idx="5">
                  <c:v>42399.0</c:v>
                </c:pt>
                <c:pt idx="6">
                  <c:v>42400.0</c:v>
                </c:pt>
                <c:pt idx="7">
                  <c:v>42401.0</c:v>
                </c:pt>
                <c:pt idx="8">
                  <c:v>42402.0</c:v>
                </c:pt>
                <c:pt idx="9">
                  <c:v>42403.0</c:v>
                </c:pt>
                <c:pt idx="10">
                  <c:v>42404.0</c:v>
                </c:pt>
                <c:pt idx="11">
                  <c:v>42405.0</c:v>
                </c:pt>
                <c:pt idx="12">
                  <c:v>42406.0</c:v>
                </c:pt>
                <c:pt idx="13">
                  <c:v>42407.0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2.0</c:v>
                </c:pt>
                <c:pt idx="3">
                  <c:v>0.0</c:v>
                </c:pt>
                <c:pt idx="4">
                  <c:v>8.0</c:v>
                </c:pt>
                <c:pt idx="5">
                  <c:v>0.0</c:v>
                </c:pt>
                <c:pt idx="6">
                  <c:v>2.0</c:v>
                </c:pt>
                <c:pt idx="7">
                  <c:v>7.0</c:v>
                </c:pt>
                <c:pt idx="8">
                  <c:v>6.0</c:v>
                </c:pt>
                <c:pt idx="9">
                  <c:v>6.0</c:v>
                </c:pt>
                <c:pt idx="10">
                  <c:v>2.0</c:v>
                </c:pt>
                <c:pt idx="11">
                  <c:v>7.0</c:v>
                </c:pt>
                <c:pt idx="12">
                  <c:v>1.0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2257080"/>
        <c:axId val="2112263560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0.666666666666667</c:v>
                </c:pt>
                <c:pt idx="3">
                  <c:v>0.5</c:v>
                </c:pt>
                <c:pt idx="4">
                  <c:v>2.0</c:v>
                </c:pt>
                <c:pt idx="5">
                  <c:v>1.666666666666666</c:v>
                </c:pt>
                <c:pt idx="6">
                  <c:v>1.714285714285714</c:v>
                </c:pt>
                <c:pt idx="7">
                  <c:v>2.375</c:v>
                </c:pt>
                <c:pt idx="8">
                  <c:v>2.777777777777777</c:v>
                </c:pt>
                <c:pt idx="9">
                  <c:v>3.1</c:v>
                </c:pt>
                <c:pt idx="10">
                  <c:v>3.0</c:v>
                </c:pt>
                <c:pt idx="11">
                  <c:v>3.333333333333333</c:v>
                </c:pt>
                <c:pt idx="12">
                  <c:v>3.153846153846154</c:v>
                </c:pt>
                <c:pt idx="13">
                  <c:v>2.928571428571429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257080"/>
        <c:axId val="2112263560"/>
      </c:lineChart>
      <c:catAx>
        <c:axId val="2112257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263560"/>
        <c:crosses val="autoZero"/>
        <c:auto val="0"/>
        <c:lblAlgn val="ctr"/>
        <c:lblOffset val="100"/>
        <c:noMultiLvlLbl val="1"/>
      </c:catAx>
      <c:valAx>
        <c:axId val="21122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257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42394.0</c:v>
                </c:pt>
                <c:pt idx="1">
                  <c:v>42395.0</c:v>
                </c:pt>
                <c:pt idx="2">
                  <c:v>42396.0</c:v>
                </c:pt>
                <c:pt idx="3">
                  <c:v>42397.0</c:v>
                </c:pt>
                <c:pt idx="4">
                  <c:v>42398.0</c:v>
                </c:pt>
                <c:pt idx="5">
                  <c:v>42399.0</c:v>
                </c:pt>
                <c:pt idx="6">
                  <c:v>42400.0</c:v>
                </c:pt>
                <c:pt idx="7">
                  <c:v>42401.0</c:v>
                </c:pt>
                <c:pt idx="8">
                  <c:v>42402.0</c:v>
                </c:pt>
                <c:pt idx="9">
                  <c:v>42403.0</c:v>
                </c:pt>
                <c:pt idx="10">
                  <c:v>42404.0</c:v>
                </c:pt>
                <c:pt idx="11">
                  <c:v>42405.0</c:v>
                </c:pt>
                <c:pt idx="12">
                  <c:v>42406.0</c:v>
                </c:pt>
                <c:pt idx="13">
                  <c:v>42407.0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5.0</c:v>
                </c:pt>
                <c:pt idx="8">
                  <c:v>3.0</c:v>
                </c:pt>
                <c:pt idx="9">
                  <c:v>5.0</c:v>
                </c:pt>
                <c:pt idx="10">
                  <c:v>0.0</c:v>
                </c:pt>
                <c:pt idx="11">
                  <c:v>7.0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2321512"/>
        <c:axId val="211232799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0.625</c:v>
                </c:pt>
                <c:pt idx="8">
                  <c:v>0.888888888888889</c:v>
                </c:pt>
                <c:pt idx="9">
                  <c:v>1.3</c:v>
                </c:pt>
                <c:pt idx="10">
                  <c:v>1.181818181818182</c:v>
                </c:pt>
                <c:pt idx="11">
                  <c:v>1.666666666666667</c:v>
                </c:pt>
                <c:pt idx="12">
                  <c:v>1.538461538461539</c:v>
                </c:pt>
                <c:pt idx="13">
                  <c:v>1.428571428571429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321512"/>
        <c:axId val="2112327992"/>
      </c:lineChart>
      <c:catAx>
        <c:axId val="2112321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327992"/>
        <c:crosses val="autoZero"/>
        <c:auto val="1"/>
        <c:lblAlgn val="ctr"/>
        <c:lblOffset val="100"/>
        <c:noMultiLvlLbl val="1"/>
      </c:catAx>
      <c:valAx>
        <c:axId val="211232799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3215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42394.0</c:v>
                </c:pt>
                <c:pt idx="1">
                  <c:v>42395.0</c:v>
                </c:pt>
                <c:pt idx="2">
                  <c:v>42396.0</c:v>
                </c:pt>
                <c:pt idx="3">
                  <c:v>42397.0</c:v>
                </c:pt>
                <c:pt idx="4">
                  <c:v>42398.0</c:v>
                </c:pt>
                <c:pt idx="5">
                  <c:v>42399.0</c:v>
                </c:pt>
                <c:pt idx="6">
                  <c:v>42400.0</c:v>
                </c:pt>
                <c:pt idx="7">
                  <c:v>42401.0</c:v>
                </c:pt>
                <c:pt idx="8">
                  <c:v>42402.0</c:v>
                </c:pt>
                <c:pt idx="9">
                  <c:v>42403.0</c:v>
                </c:pt>
                <c:pt idx="10">
                  <c:v>42404.0</c:v>
                </c:pt>
                <c:pt idx="11">
                  <c:v>42405.0</c:v>
                </c:pt>
                <c:pt idx="12">
                  <c:v>42406.0</c:v>
                </c:pt>
                <c:pt idx="13">
                  <c:v>42407.0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6.0</c:v>
                </c:pt>
                <c:pt idx="5">
                  <c:v>0.0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2382168"/>
        <c:axId val="211238864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1.2</c:v>
                </c:pt>
                <c:pt idx="5">
                  <c:v>1.0</c:v>
                </c:pt>
                <c:pt idx="6">
                  <c:v>1.142857142857143</c:v>
                </c:pt>
                <c:pt idx="7">
                  <c:v>1.0</c:v>
                </c:pt>
                <c:pt idx="8">
                  <c:v>0.888888888888889</c:v>
                </c:pt>
                <c:pt idx="9">
                  <c:v>0.8</c:v>
                </c:pt>
                <c:pt idx="10">
                  <c:v>0.727272727272727</c:v>
                </c:pt>
                <c:pt idx="11">
                  <c:v>0.666666666666667</c:v>
                </c:pt>
                <c:pt idx="12">
                  <c:v>0.615384615384615</c:v>
                </c:pt>
                <c:pt idx="13">
                  <c:v>0.571428571428571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382168"/>
        <c:axId val="2112388648"/>
      </c:lineChart>
      <c:catAx>
        <c:axId val="2112382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388648"/>
        <c:crosses val="autoZero"/>
        <c:auto val="1"/>
        <c:lblAlgn val="ctr"/>
        <c:lblOffset val="100"/>
        <c:noMultiLvlLbl val="1"/>
      </c:catAx>
      <c:valAx>
        <c:axId val="211238864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38216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42394.0</c:v>
                </c:pt>
                <c:pt idx="1">
                  <c:v>42395.0</c:v>
                </c:pt>
                <c:pt idx="2">
                  <c:v>42396.0</c:v>
                </c:pt>
                <c:pt idx="3">
                  <c:v>42397.0</c:v>
                </c:pt>
                <c:pt idx="4">
                  <c:v>42398.0</c:v>
                </c:pt>
                <c:pt idx="5">
                  <c:v>42399.0</c:v>
                </c:pt>
                <c:pt idx="6">
                  <c:v>42400.0</c:v>
                </c:pt>
                <c:pt idx="7">
                  <c:v>42401.0</c:v>
                </c:pt>
                <c:pt idx="8">
                  <c:v>42402.0</c:v>
                </c:pt>
                <c:pt idx="9">
                  <c:v>42403.0</c:v>
                </c:pt>
                <c:pt idx="10">
                  <c:v>42404.0</c:v>
                </c:pt>
                <c:pt idx="11">
                  <c:v>42405.0</c:v>
                </c:pt>
                <c:pt idx="12">
                  <c:v>42406.0</c:v>
                </c:pt>
                <c:pt idx="13">
                  <c:v>42407.0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2.0</c:v>
                </c:pt>
                <c:pt idx="3">
                  <c:v>0.0</c:v>
                </c:pt>
                <c:pt idx="4">
                  <c:v>2.0</c:v>
                </c:pt>
                <c:pt idx="5">
                  <c:v>0.0</c:v>
                </c:pt>
                <c:pt idx="6">
                  <c:v>0.0</c:v>
                </c:pt>
                <c:pt idx="7">
                  <c:v>2.0</c:v>
                </c:pt>
                <c:pt idx="8">
                  <c:v>3.0</c:v>
                </c:pt>
                <c:pt idx="9">
                  <c:v>1.0</c:v>
                </c:pt>
                <c:pt idx="10">
                  <c:v>2.0</c:v>
                </c:pt>
                <c:pt idx="11">
                  <c:v>0.0</c:v>
                </c:pt>
                <c:pt idx="12">
                  <c:v>1.0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2443208"/>
        <c:axId val="211244968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0.666666666666667</c:v>
                </c:pt>
                <c:pt idx="3">
                  <c:v>0.5</c:v>
                </c:pt>
                <c:pt idx="4">
                  <c:v>0.8</c:v>
                </c:pt>
                <c:pt idx="5">
                  <c:v>0.666666666666667</c:v>
                </c:pt>
                <c:pt idx="6">
                  <c:v>0.571428571428571</c:v>
                </c:pt>
                <c:pt idx="7">
                  <c:v>0.75</c:v>
                </c:pt>
                <c:pt idx="8">
                  <c:v>1.0</c:v>
                </c:pt>
                <c:pt idx="9">
                  <c:v>1.0</c:v>
                </c:pt>
                <c:pt idx="10">
                  <c:v>1.090909090909091</c:v>
                </c:pt>
                <c:pt idx="11">
                  <c:v>1.0</c:v>
                </c:pt>
                <c:pt idx="12">
                  <c:v>1.0</c:v>
                </c:pt>
                <c:pt idx="13">
                  <c:v>0.928571428571429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443208"/>
        <c:axId val="2112449688"/>
      </c:lineChart>
      <c:catAx>
        <c:axId val="211244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449688"/>
        <c:crosses val="autoZero"/>
        <c:auto val="1"/>
        <c:lblAlgn val="ctr"/>
        <c:lblOffset val="100"/>
        <c:noMultiLvlLbl val="1"/>
      </c:catAx>
      <c:valAx>
        <c:axId val="211244968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44320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42394.0</c:v>
                </c:pt>
                <c:pt idx="1">
                  <c:v>42395.0</c:v>
                </c:pt>
                <c:pt idx="2">
                  <c:v>42396.0</c:v>
                </c:pt>
                <c:pt idx="3">
                  <c:v>42397.0</c:v>
                </c:pt>
                <c:pt idx="4">
                  <c:v>42398.0</c:v>
                </c:pt>
                <c:pt idx="5">
                  <c:v>42399.0</c:v>
                </c:pt>
                <c:pt idx="6">
                  <c:v>42400.0</c:v>
                </c:pt>
                <c:pt idx="7">
                  <c:v>42401.0</c:v>
                </c:pt>
                <c:pt idx="8">
                  <c:v>42402.0</c:v>
                </c:pt>
                <c:pt idx="9">
                  <c:v>42403.0</c:v>
                </c:pt>
                <c:pt idx="10">
                  <c:v>42404.0</c:v>
                </c:pt>
                <c:pt idx="11">
                  <c:v>42405.0</c:v>
                </c:pt>
                <c:pt idx="12">
                  <c:v>42406.0</c:v>
                </c:pt>
                <c:pt idx="13">
                  <c:v>42407.0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561976"/>
        <c:axId val="210960583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561976"/>
        <c:axId val="2109605832"/>
      </c:lineChart>
      <c:catAx>
        <c:axId val="2109561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05832"/>
        <c:crosses val="autoZero"/>
        <c:auto val="1"/>
        <c:lblAlgn val="ctr"/>
        <c:lblOffset val="100"/>
        <c:noMultiLvlLbl val="1"/>
      </c:catAx>
      <c:valAx>
        <c:axId val="21096058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56197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42408.0</c:v>
                </c:pt>
                <c:pt idx="1">
                  <c:v>42409.0</c:v>
                </c:pt>
                <c:pt idx="2">
                  <c:v>42410.0</c:v>
                </c:pt>
                <c:pt idx="3">
                  <c:v>42411.0</c:v>
                </c:pt>
                <c:pt idx="4">
                  <c:v>42412.0</c:v>
                </c:pt>
                <c:pt idx="5">
                  <c:v>42413.0</c:v>
                </c:pt>
                <c:pt idx="6">
                  <c:v>42414.0</c:v>
                </c:pt>
                <c:pt idx="7">
                  <c:v>42415.0</c:v>
                </c:pt>
                <c:pt idx="8">
                  <c:v>42416.0</c:v>
                </c:pt>
                <c:pt idx="9">
                  <c:v>42417.0</c:v>
                </c:pt>
                <c:pt idx="10">
                  <c:v>42418.0</c:v>
                </c:pt>
                <c:pt idx="11">
                  <c:v>42419.0</c:v>
                </c:pt>
                <c:pt idx="12">
                  <c:v>42420.0</c:v>
                </c:pt>
                <c:pt idx="13">
                  <c:v>42421.0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100680"/>
        <c:axId val="2109094152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100680"/>
        <c:axId val="2109094152"/>
      </c:lineChart>
      <c:catAx>
        <c:axId val="2109100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94152"/>
        <c:crosses val="autoZero"/>
        <c:auto val="0"/>
        <c:lblAlgn val="ctr"/>
        <c:lblOffset val="100"/>
        <c:noMultiLvlLbl val="1"/>
      </c:catAx>
      <c:valAx>
        <c:axId val="210909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10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42408.0</c:v>
                </c:pt>
                <c:pt idx="1">
                  <c:v>42409.0</c:v>
                </c:pt>
                <c:pt idx="2">
                  <c:v>42410.0</c:v>
                </c:pt>
                <c:pt idx="3">
                  <c:v>42411.0</c:v>
                </c:pt>
                <c:pt idx="4">
                  <c:v>42412.0</c:v>
                </c:pt>
                <c:pt idx="5">
                  <c:v>42413.0</c:v>
                </c:pt>
                <c:pt idx="6">
                  <c:v>42414.0</c:v>
                </c:pt>
                <c:pt idx="7">
                  <c:v>42415.0</c:v>
                </c:pt>
                <c:pt idx="8">
                  <c:v>42416.0</c:v>
                </c:pt>
                <c:pt idx="9">
                  <c:v>42417.0</c:v>
                </c:pt>
                <c:pt idx="10">
                  <c:v>42418.0</c:v>
                </c:pt>
                <c:pt idx="11">
                  <c:v>42419.0</c:v>
                </c:pt>
                <c:pt idx="12">
                  <c:v>42420.0</c:v>
                </c:pt>
                <c:pt idx="13">
                  <c:v>42421.0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036248"/>
        <c:axId val="210902972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036248"/>
        <c:axId val="2109029720"/>
      </c:lineChart>
      <c:catAx>
        <c:axId val="2109036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29720"/>
        <c:crosses val="autoZero"/>
        <c:auto val="1"/>
        <c:lblAlgn val="ctr"/>
        <c:lblOffset val="100"/>
        <c:noMultiLvlLbl val="1"/>
      </c:catAx>
      <c:valAx>
        <c:axId val="210902972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362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42408.0</c:v>
                </c:pt>
                <c:pt idx="1">
                  <c:v>42409.0</c:v>
                </c:pt>
                <c:pt idx="2">
                  <c:v>42410.0</c:v>
                </c:pt>
                <c:pt idx="3">
                  <c:v>42411.0</c:v>
                </c:pt>
                <c:pt idx="4">
                  <c:v>42412.0</c:v>
                </c:pt>
                <c:pt idx="5">
                  <c:v>42413.0</c:v>
                </c:pt>
                <c:pt idx="6">
                  <c:v>42414.0</c:v>
                </c:pt>
                <c:pt idx="7">
                  <c:v>42415.0</c:v>
                </c:pt>
                <c:pt idx="8">
                  <c:v>42416.0</c:v>
                </c:pt>
                <c:pt idx="9">
                  <c:v>42417.0</c:v>
                </c:pt>
                <c:pt idx="10">
                  <c:v>42418.0</c:v>
                </c:pt>
                <c:pt idx="11">
                  <c:v>42419.0</c:v>
                </c:pt>
                <c:pt idx="12">
                  <c:v>42420.0</c:v>
                </c:pt>
                <c:pt idx="13">
                  <c:v>42421.0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8975352"/>
        <c:axId val="21089688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975352"/>
        <c:axId val="2108968824"/>
      </c:lineChart>
      <c:catAx>
        <c:axId val="2108975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968824"/>
        <c:crosses val="autoZero"/>
        <c:auto val="1"/>
        <c:lblAlgn val="ctr"/>
        <c:lblOffset val="100"/>
        <c:noMultiLvlLbl val="1"/>
      </c:catAx>
      <c:valAx>
        <c:axId val="210896882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97535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42408.0</c:v>
                </c:pt>
                <c:pt idx="1">
                  <c:v>42409.0</c:v>
                </c:pt>
                <c:pt idx="2">
                  <c:v>42410.0</c:v>
                </c:pt>
                <c:pt idx="3">
                  <c:v>42411.0</c:v>
                </c:pt>
                <c:pt idx="4">
                  <c:v>42412.0</c:v>
                </c:pt>
                <c:pt idx="5">
                  <c:v>42413.0</c:v>
                </c:pt>
                <c:pt idx="6">
                  <c:v>42414.0</c:v>
                </c:pt>
                <c:pt idx="7">
                  <c:v>42415.0</c:v>
                </c:pt>
                <c:pt idx="8">
                  <c:v>42416.0</c:v>
                </c:pt>
                <c:pt idx="9">
                  <c:v>42417.0</c:v>
                </c:pt>
                <c:pt idx="10">
                  <c:v>42418.0</c:v>
                </c:pt>
                <c:pt idx="11">
                  <c:v>42419.0</c:v>
                </c:pt>
                <c:pt idx="12">
                  <c:v>42420.0</c:v>
                </c:pt>
                <c:pt idx="13">
                  <c:v>42421.0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8914312"/>
        <c:axId val="210890778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914312"/>
        <c:axId val="2108907784"/>
      </c:lineChart>
      <c:catAx>
        <c:axId val="2108914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907784"/>
        <c:crosses val="autoZero"/>
        <c:auto val="1"/>
        <c:lblAlgn val="ctr"/>
        <c:lblOffset val="100"/>
        <c:noMultiLvlLbl val="1"/>
      </c:catAx>
      <c:valAx>
        <c:axId val="21089077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9143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42408.0</c:v>
                </c:pt>
                <c:pt idx="1">
                  <c:v>42409.0</c:v>
                </c:pt>
                <c:pt idx="2">
                  <c:v>42410.0</c:v>
                </c:pt>
                <c:pt idx="3">
                  <c:v>42411.0</c:v>
                </c:pt>
                <c:pt idx="4">
                  <c:v>42412.0</c:v>
                </c:pt>
                <c:pt idx="5">
                  <c:v>42413.0</c:v>
                </c:pt>
                <c:pt idx="6">
                  <c:v>42414.0</c:v>
                </c:pt>
                <c:pt idx="7">
                  <c:v>42415.0</c:v>
                </c:pt>
                <c:pt idx="8">
                  <c:v>42416.0</c:v>
                </c:pt>
                <c:pt idx="9">
                  <c:v>42417.0</c:v>
                </c:pt>
                <c:pt idx="10">
                  <c:v>42418.0</c:v>
                </c:pt>
                <c:pt idx="11">
                  <c:v>42419.0</c:v>
                </c:pt>
                <c:pt idx="12">
                  <c:v>42420.0</c:v>
                </c:pt>
                <c:pt idx="13">
                  <c:v>42421.0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8853752"/>
        <c:axId val="21088472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853752"/>
        <c:axId val="2108847224"/>
      </c:lineChart>
      <c:catAx>
        <c:axId val="2108853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847224"/>
        <c:crosses val="autoZero"/>
        <c:auto val="1"/>
        <c:lblAlgn val="ctr"/>
        <c:lblOffset val="100"/>
        <c:noMultiLvlLbl val="1"/>
      </c:catAx>
      <c:valAx>
        <c:axId val="210884722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85375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42422.0</c:v>
                </c:pt>
                <c:pt idx="1">
                  <c:v>42423.0</c:v>
                </c:pt>
                <c:pt idx="2">
                  <c:v>42424.0</c:v>
                </c:pt>
                <c:pt idx="3">
                  <c:v>42425.0</c:v>
                </c:pt>
                <c:pt idx="4">
                  <c:v>42426.0</c:v>
                </c:pt>
                <c:pt idx="5">
                  <c:v>42427.0</c:v>
                </c:pt>
                <c:pt idx="6">
                  <c:v>42428.0</c:v>
                </c:pt>
                <c:pt idx="7">
                  <c:v>42429.0</c:v>
                </c:pt>
                <c:pt idx="8">
                  <c:v>42430.0</c:v>
                </c:pt>
                <c:pt idx="9">
                  <c:v>42431.0</c:v>
                </c:pt>
                <c:pt idx="10">
                  <c:v>42432.0</c:v>
                </c:pt>
                <c:pt idx="11">
                  <c:v>42433.0</c:v>
                </c:pt>
                <c:pt idx="12">
                  <c:v>42434.0</c:v>
                </c:pt>
                <c:pt idx="13">
                  <c:v>42435.0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8772344"/>
        <c:axId val="2108765816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772344"/>
        <c:axId val="2108765816"/>
      </c:lineChart>
      <c:catAx>
        <c:axId val="210877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765816"/>
        <c:crosses val="autoZero"/>
        <c:auto val="0"/>
        <c:lblAlgn val="ctr"/>
        <c:lblOffset val="100"/>
        <c:noMultiLvlLbl val="1"/>
      </c:catAx>
      <c:valAx>
        <c:axId val="210876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772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42422.0</c:v>
                </c:pt>
                <c:pt idx="1">
                  <c:v>42423.0</c:v>
                </c:pt>
                <c:pt idx="2">
                  <c:v>42424.0</c:v>
                </c:pt>
                <c:pt idx="3">
                  <c:v>42425.0</c:v>
                </c:pt>
                <c:pt idx="4">
                  <c:v>42426.0</c:v>
                </c:pt>
                <c:pt idx="5">
                  <c:v>42427.0</c:v>
                </c:pt>
                <c:pt idx="6">
                  <c:v>42428.0</c:v>
                </c:pt>
                <c:pt idx="7">
                  <c:v>42429.0</c:v>
                </c:pt>
                <c:pt idx="8">
                  <c:v>42430.0</c:v>
                </c:pt>
                <c:pt idx="9">
                  <c:v>42431.0</c:v>
                </c:pt>
                <c:pt idx="10">
                  <c:v>42432.0</c:v>
                </c:pt>
                <c:pt idx="11">
                  <c:v>42433.0</c:v>
                </c:pt>
                <c:pt idx="12">
                  <c:v>42434.0</c:v>
                </c:pt>
                <c:pt idx="13">
                  <c:v>42435.0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8707912"/>
        <c:axId val="21087013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707912"/>
        <c:axId val="2108701384"/>
      </c:lineChart>
      <c:catAx>
        <c:axId val="2108707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701384"/>
        <c:crosses val="autoZero"/>
        <c:auto val="1"/>
        <c:lblAlgn val="ctr"/>
        <c:lblOffset val="100"/>
        <c:noMultiLvlLbl val="1"/>
      </c:catAx>
      <c:valAx>
        <c:axId val="21087013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7079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42422.0</c:v>
                </c:pt>
                <c:pt idx="1">
                  <c:v>42423.0</c:v>
                </c:pt>
                <c:pt idx="2">
                  <c:v>42424.0</c:v>
                </c:pt>
                <c:pt idx="3">
                  <c:v>42425.0</c:v>
                </c:pt>
                <c:pt idx="4">
                  <c:v>42426.0</c:v>
                </c:pt>
                <c:pt idx="5">
                  <c:v>42427.0</c:v>
                </c:pt>
                <c:pt idx="6">
                  <c:v>42428.0</c:v>
                </c:pt>
                <c:pt idx="7">
                  <c:v>42429.0</c:v>
                </c:pt>
                <c:pt idx="8">
                  <c:v>42430.0</c:v>
                </c:pt>
                <c:pt idx="9">
                  <c:v>42431.0</c:v>
                </c:pt>
                <c:pt idx="10">
                  <c:v>42432.0</c:v>
                </c:pt>
                <c:pt idx="11">
                  <c:v>42433.0</c:v>
                </c:pt>
                <c:pt idx="12">
                  <c:v>42434.0</c:v>
                </c:pt>
                <c:pt idx="13">
                  <c:v>42435.0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336776"/>
        <c:axId val="211334325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336776"/>
        <c:axId val="2113343256"/>
      </c:lineChart>
      <c:catAx>
        <c:axId val="2113336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343256"/>
        <c:crosses val="autoZero"/>
        <c:auto val="1"/>
        <c:lblAlgn val="ctr"/>
        <c:lblOffset val="100"/>
        <c:noMultiLvlLbl val="1"/>
      </c:catAx>
      <c:valAx>
        <c:axId val="211334325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33677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42422.0</c:v>
                </c:pt>
                <c:pt idx="1">
                  <c:v>42423.0</c:v>
                </c:pt>
                <c:pt idx="2">
                  <c:v>42424.0</c:v>
                </c:pt>
                <c:pt idx="3">
                  <c:v>42425.0</c:v>
                </c:pt>
                <c:pt idx="4">
                  <c:v>42426.0</c:v>
                </c:pt>
                <c:pt idx="5">
                  <c:v>42427.0</c:v>
                </c:pt>
                <c:pt idx="6">
                  <c:v>42428.0</c:v>
                </c:pt>
                <c:pt idx="7">
                  <c:v>42429.0</c:v>
                </c:pt>
                <c:pt idx="8">
                  <c:v>42430.0</c:v>
                </c:pt>
                <c:pt idx="9">
                  <c:v>42431.0</c:v>
                </c:pt>
                <c:pt idx="10">
                  <c:v>42432.0</c:v>
                </c:pt>
                <c:pt idx="11">
                  <c:v>42433.0</c:v>
                </c:pt>
                <c:pt idx="12">
                  <c:v>42434.0</c:v>
                </c:pt>
                <c:pt idx="13">
                  <c:v>42435.0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397816"/>
        <c:axId val="211340429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397816"/>
        <c:axId val="2113404296"/>
      </c:lineChart>
      <c:catAx>
        <c:axId val="2113397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404296"/>
        <c:crosses val="autoZero"/>
        <c:auto val="1"/>
        <c:lblAlgn val="ctr"/>
        <c:lblOffset val="100"/>
        <c:noMultiLvlLbl val="1"/>
      </c:catAx>
      <c:valAx>
        <c:axId val="211340429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39781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42422.0</c:v>
                </c:pt>
                <c:pt idx="1">
                  <c:v>42423.0</c:v>
                </c:pt>
                <c:pt idx="2">
                  <c:v>42424.0</c:v>
                </c:pt>
                <c:pt idx="3">
                  <c:v>42425.0</c:v>
                </c:pt>
                <c:pt idx="4">
                  <c:v>42426.0</c:v>
                </c:pt>
                <c:pt idx="5">
                  <c:v>42427.0</c:v>
                </c:pt>
                <c:pt idx="6">
                  <c:v>42428.0</c:v>
                </c:pt>
                <c:pt idx="7">
                  <c:v>42429.0</c:v>
                </c:pt>
                <c:pt idx="8">
                  <c:v>42430.0</c:v>
                </c:pt>
                <c:pt idx="9">
                  <c:v>42431.0</c:v>
                </c:pt>
                <c:pt idx="10">
                  <c:v>42432.0</c:v>
                </c:pt>
                <c:pt idx="11">
                  <c:v>42433.0</c:v>
                </c:pt>
                <c:pt idx="12">
                  <c:v>42434.0</c:v>
                </c:pt>
                <c:pt idx="13">
                  <c:v>42435.0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458936"/>
        <c:axId val="211346541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458936"/>
        <c:axId val="2113465416"/>
      </c:lineChart>
      <c:catAx>
        <c:axId val="2113458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465416"/>
        <c:crosses val="autoZero"/>
        <c:auto val="1"/>
        <c:lblAlgn val="ctr"/>
        <c:lblOffset val="100"/>
        <c:noMultiLvlLbl val="1"/>
      </c:catAx>
      <c:valAx>
        <c:axId val="211346541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45893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42443.0</c:v>
                </c:pt>
                <c:pt idx="1">
                  <c:v>42444.0</c:v>
                </c:pt>
                <c:pt idx="2">
                  <c:v>42445.0</c:v>
                </c:pt>
                <c:pt idx="3">
                  <c:v>42446.0</c:v>
                </c:pt>
                <c:pt idx="4">
                  <c:v>42447.0</c:v>
                </c:pt>
                <c:pt idx="5">
                  <c:v>42448.0</c:v>
                </c:pt>
                <c:pt idx="6">
                  <c:v>42449.0</c:v>
                </c:pt>
                <c:pt idx="7">
                  <c:v>42450.0</c:v>
                </c:pt>
                <c:pt idx="8">
                  <c:v>42451.0</c:v>
                </c:pt>
                <c:pt idx="9">
                  <c:v>42452.0</c:v>
                </c:pt>
                <c:pt idx="10">
                  <c:v>42453.0</c:v>
                </c:pt>
                <c:pt idx="11">
                  <c:v>42454.0</c:v>
                </c:pt>
                <c:pt idx="12">
                  <c:v>42455.0</c:v>
                </c:pt>
                <c:pt idx="13">
                  <c:v>42456.0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539816"/>
        <c:axId val="2113546296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539816"/>
        <c:axId val="2113546296"/>
      </c:lineChart>
      <c:catAx>
        <c:axId val="2113539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46296"/>
        <c:crosses val="autoZero"/>
        <c:auto val="0"/>
        <c:lblAlgn val="ctr"/>
        <c:lblOffset val="100"/>
        <c:noMultiLvlLbl val="1"/>
      </c:catAx>
      <c:valAx>
        <c:axId val="211354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39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42443.0</c:v>
                </c:pt>
                <c:pt idx="1">
                  <c:v>42444.0</c:v>
                </c:pt>
                <c:pt idx="2">
                  <c:v>42445.0</c:v>
                </c:pt>
                <c:pt idx="3">
                  <c:v>42446.0</c:v>
                </c:pt>
                <c:pt idx="4">
                  <c:v>42447.0</c:v>
                </c:pt>
                <c:pt idx="5">
                  <c:v>42448.0</c:v>
                </c:pt>
                <c:pt idx="6">
                  <c:v>42449.0</c:v>
                </c:pt>
                <c:pt idx="7">
                  <c:v>42450.0</c:v>
                </c:pt>
                <c:pt idx="8">
                  <c:v>42451.0</c:v>
                </c:pt>
                <c:pt idx="9">
                  <c:v>42452.0</c:v>
                </c:pt>
                <c:pt idx="10">
                  <c:v>42453.0</c:v>
                </c:pt>
                <c:pt idx="11">
                  <c:v>42454.0</c:v>
                </c:pt>
                <c:pt idx="12">
                  <c:v>42455.0</c:v>
                </c:pt>
                <c:pt idx="13">
                  <c:v>42456.0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604248"/>
        <c:axId val="211361072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604248"/>
        <c:axId val="2113610728"/>
      </c:lineChart>
      <c:catAx>
        <c:axId val="2113604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610728"/>
        <c:crosses val="autoZero"/>
        <c:auto val="1"/>
        <c:lblAlgn val="ctr"/>
        <c:lblOffset val="100"/>
        <c:noMultiLvlLbl val="1"/>
      </c:catAx>
      <c:valAx>
        <c:axId val="21136107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6042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42443.0</c:v>
                </c:pt>
                <c:pt idx="1">
                  <c:v>42444.0</c:v>
                </c:pt>
                <c:pt idx="2">
                  <c:v>42445.0</c:v>
                </c:pt>
                <c:pt idx="3">
                  <c:v>42446.0</c:v>
                </c:pt>
                <c:pt idx="4">
                  <c:v>42447.0</c:v>
                </c:pt>
                <c:pt idx="5">
                  <c:v>42448.0</c:v>
                </c:pt>
                <c:pt idx="6">
                  <c:v>42449.0</c:v>
                </c:pt>
                <c:pt idx="7">
                  <c:v>42450.0</c:v>
                </c:pt>
                <c:pt idx="8">
                  <c:v>42451.0</c:v>
                </c:pt>
                <c:pt idx="9">
                  <c:v>42452.0</c:v>
                </c:pt>
                <c:pt idx="10">
                  <c:v>42453.0</c:v>
                </c:pt>
                <c:pt idx="11">
                  <c:v>42454.0</c:v>
                </c:pt>
                <c:pt idx="12">
                  <c:v>42455.0</c:v>
                </c:pt>
                <c:pt idx="13">
                  <c:v>42456.0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664904"/>
        <c:axId val="211367138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664904"/>
        <c:axId val="2113671384"/>
      </c:lineChart>
      <c:catAx>
        <c:axId val="2113664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671384"/>
        <c:crosses val="autoZero"/>
        <c:auto val="1"/>
        <c:lblAlgn val="ctr"/>
        <c:lblOffset val="100"/>
        <c:noMultiLvlLbl val="1"/>
      </c:catAx>
      <c:valAx>
        <c:axId val="21136713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66490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42443.0</c:v>
                </c:pt>
                <c:pt idx="1">
                  <c:v>42444.0</c:v>
                </c:pt>
                <c:pt idx="2">
                  <c:v>42445.0</c:v>
                </c:pt>
                <c:pt idx="3">
                  <c:v>42446.0</c:v>
                </c:pt>
                <c:pt idx="4">
                  <c:v>42447.0</c:v>
                </c:pt>
                <c:pt idx="5">
                  <c:v>42448.0</c:v>
                </c:pt>
                <c:pt idx="6">
                  <c:v>42449.0</c:v>
                </c:pt>
                <c:pt idx="7">
                  <c:v>42450.0</c:v>
                </c:pt>
                <c:pt idx="8">
                  <c:v>42451.0</c:v>
                </c:pt>
                <c:pt idx="9">
                  <c:v>42452.0</c:v>
                </c:pt>
                <c:pt idx="10">
                  <c:v>42453.0</c:v>
                </c:pt>
                <c:pt idx="11">
                  <c:v>42454.0</c:v>
                </c:pt>
                <c:pt idx="12">
                  <c:v>42455.0</c:v>
                </c:pt>
                <c:pt idx="13">
                  <c:v>42456.0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725944"/>
        <c:axId val="211373242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725944"/>
        <c:axId val="2113732424"/>
      </c:lineChart>
      <c:catAx>
        <c:axId val="2113725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732424"/>
        <c:crosses val="autoZero"/>
        <c:auto val="1"/>
        <c:lblAlgn val="ctr"/>
        <c:lblOffset val="100"/>
        <c:noMultiLvlLbl val="1"/>
      </c:catAx>
      <c:valAx>
        <c:axId val="211373242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72594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42443.0</c:v>
                </c:pt>
                <c:pt idx="1">
                  <c:v>42444.0</c:v>
                </c:pt>
                <c:pt idx="2">
                  <c:v>42445.0</c:v>
                </c:pt>
                <c:pt idx="3">
                  <c:v>42446.0</c:v>
                </c:pt>
                <c:pt idx="4">
                  <c:v>42447.0</c:v>
                </c:pt>
                <c:pt idx="5">
                  <c:v>42448.0</c:v>
                </c:pt>
                <c:pt idx="6">
                  <c:v>42449.0</c:v>
                </c:pt>
                <c:pt idx="7">
                  <c:v>42450.0</c:v>
                </c:pt>
                <c:pt idx="8">
                  <c:v>42451.0</c:v>
                </c:pt>
                <c:pt idx="9">
                  <c:v>42452.0</c:v>
                </c:pt>
                <c:pt idx="10">
                  <c:v>42453.0</c:v>
                </c:pt>
                <c:pt idx="11">
                  <c:v>42454.0</c:v>
                </c:pt>
                <c:pt idx="12">
                  <c:v>42455.0</c:v>
                </c:pt>
                <c:pt idx="13">
                  <c:v>42456.0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786504"/>
        <c:axId val="211379298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786504"/>
        <c:axId val="2113792984"/>
      </c:lineChart>
      <c:catAx>
        <c:axId val="2113786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792984"/>
        <c:crosses val="autoZero"/>
        <c:auto val="1"/>
        <c:lblAlgn val="ctr"/>
        <c:lblOffset val="100"/>
        <c:noMultiLvlLbl val="1"/>
      </c:catAx>
      <c:valAx>
        <c:axId val="21137929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78650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42457.0</c:v>
                </c:pt>
                <c:pt idx="1">
                  <c:v>42458.0</c:v>
                </c:pt>
                <c:pt idx="2">
                  <c:v>42459.0</c:v>
                </c:pt>
                <c:pt idx="3">
                  <c:v>42460.0</c:v>
                </c:pt>
                <c:pt idx="4">
                  <c:v>42461.0</c:v>
                </c:pt>
                <c:pt idx="5">
                  <c:v>42462.0</c:v>
                </c:pt>
                <c:pt idx="6">
                  <c:v>42463.0</c:v>
                </c:pt>
                <c:pt idx="7">
                  <c:v>42464.0</c:v>
                </c:pt>
                <c:pt idx="8">
                  <c:v>42465.0</c:v>
                </c:pt>
                <c:pt idx="9">
                  <c:v>42466.0</c:v>
                </c:pt>
                <c:pt idx="10">
                  <c:v>42467.0</c:v>
                </c:pt>
                <c:pt idx="11">
                  <c:v>42468.0</c:v>
                </c:pt>
                <c:pt idx="12">
                  <c:v>42469.0</c:v>
                </c:pt>
                <c:pt idx="13">
                  <c:v>42470.0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867384"/>
        <c:axId val="211387386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867384"/>
        <c:axId val="2113873864"/>
      </c:lineChart>
      <c:catAx>
        <c:axId val="2113867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873864"/>
        <c:crosses val="autoZero"/>
        <c:auto val="0"/>
        <c:lblAlgn val="ctr"/>
        <c:lblOffset val="100"/>
        <c:noMultiLvlLbl val="1"/>
      </c:catAx>
      <c:valAx>
        <c:axId val="211387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867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42457.0</c:v>
                </c:pt>
                <c:pt idx="1">
                  <c:v>42458.0</c:v>
                </c:pt>
                <c:pt idx="2">
                  <c:v>42459.0</c:v>
                </c:pt>
                <c:pt idx="3">
                  <c:v>42460.0</c:v>
                </c:pt>
                <c:pt idx="4">
                  <c:v>42461.0</c:v>
                </c:pt>
                <c:pt idx="5">
                  <c:v>42462.0</c:v>
                </c:pt>
                <c:pt idx="6">
                  <c:v>42463.0</c:v>
                </c:pt>
                <c:pt idx="7">
                  <c:v>42464.0</c:v>
                </c:pt>
                <c:pt idx="8">
                  <c:v>42465.0</c:v>
                </c:pt>
                <c:pt idx="9">
                  <c:v>42466.0</c:v>
                </c:pt>
                <c:pt idx="10">
                  <c:v>42467.0</c:v>
                </c:pt>
                <c:pt idx="11">
                  <c:v>42468.0</c:v>
                </c:pt>
                <c:pt idx="12">
                  <c:v>42469.0</c:v>
                </c:pt>
                <c:pt idx="13">
                  <c:v>42470.0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278840"/>
        <c:axId val="211327231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278840"/>
        <c:axId val="2113272312"/>
      </c:lineChart>
      <c:catAx>
        <c:axId val="2113278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2312"/>
        <c:crosses val="autoZero"/>
        <c:auto val="1"/>
        <c:lblAlgn val="ctr"/>
        <c:lblOffset val="100"/>
        <c:noMultiLvlLbl val="1"/>
      </c:catAx>
      <c:valAx>
        <c:axId val="211327231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88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42457.0</c:v>
                </c:pt>
                <c:pt idx="1">
                  <c:v>42458.0</c:v>
                </c:pt>
                <c:pt idx="2">
                  <c:v>42459.0</c:v>
                </c:pt>
                <c:pt idx="3">
                  <c:v>42460.0</c:v>
                </c:pt>
                <c:pt idx="4">
                  <c:v>42461.0</c:v>
                </c:pt>
                <c:pt idx="5">
                  <c:v>42462.0</c:v>
                </c:pt>
                <c:pt idx="6">
                  <c:v>42463.0</c:v>
                </c:pt>
                <c:pt idx="7">
                  <c:v>42464.0</c:v>
                </c:pt>
                <c:pt idx="8">
                  <c:v>42465.0</c:v>
                </c:pt>
                <c:pt idx="9">
                  <c:v>42466.0</c:v>
                </c:pt>
                <c:pt idx="10">
                  <c:v>42467.0</c:v>
                </c:pt>
                <c:pt idx="11">
                  <c:v>42468.0</c:v>
                </c:pt>
                <c:pt idx="12">
                  <c:v>42469.0</c:v>
                </c:pt>
                <c:pt idx="13">
                  <c:v>42470.0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3218184"/>
        <c:axId val="211321165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218184"/>
        <c:axId val="2113211656"/>
      </c:lineChart>
      <c:catAx>
        <c:axId val="2113218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11656"/>
        <c:crosses val="autoZero"/>
        <c:auto val="1"/>
        <c:lblAlgn val="ctr"/>
        <c:lblOffset val="100"/>
        <c:noMultiLvlLbl val="1"/>
      </c:catAx>
      <c:valAx>
        <c:axId val="211321165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181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42457.0</c:v>
                </c:pt>
                <c:pt idx="1">
                  <c:v>42458.0</c:v>
                </c:pt>
                <c:pt idx="2">
                  <c:v>42459.0</c:v>
                </c:pt>
                <c:pt idx="3">
                  <c:v>42460.0</c:v>
                </c:pt>
                <c:pt idx="4">
                  <c:v>42461.0</c:v>
                </c:pt>
                <c:pt idx="5">
                  <c:v>42462.0</c:v>
                </c:pt>
                <c:pt idx="6">
                  <c:v>42463.0</c:v>
                </c:pt>
                <c:pt idx="7">
                  <c:v>42464.0</c:v>
                </c:pt>
                <c:pt idx="8">
                  <c:v>42465.0</c:v>
                </c:pt>
                <c:pt idx="9">
                  <c:v>42466.0</c:v>
                </c:pt>
                <c:pt idx="10">
                  <c:v>42467.0</c:v>
                </c:pt>
                <c:pt idx="11">
                  <c:v>42468.0</c:v>
                </c:pt>
                <c:pt idx="12">
                  <c:v>42469.0</c:v>
                </c:pt>
                <c:pt idx="13">
                  <c:v>42470.0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2506440"/>
        <c:axId val="211251292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506440"/>
        <c:axId val="2112512920"/>
      </c:lineChart>
      <c:catAx>
        <c:axId val="2112506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512920"/>
        <c:crosses val="autoZero"/>
        <c:auto val="1"/>
        <c:lblAlgn val="ctr"/>
        <c:lblOffset val="100"/>
        <c:noMultiLvlLbl val="1"/>
      </c:catAx>
      <c:valAx>
        <c:axId val="211251292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5064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42457.0</c:v>
                </c:pt>
                <c:pt idx="1">
                  <c:v>42458.0</c:v>
                </c:pt>
                <c:pt idx="2">
                  <c:v>42459.0</c:v>
                </c:pt>
                <c:pt idx="3">
                  <c:v>42460.0</c:v>
                </c:pt>
                <c:pt idx="4">
                  <c:v>42461.0</c:v>
                </c:pt>
                <c:pt idx="5">
                  <c:v>42462.0</c:v>
                </c:pt>
                <c:pt idx="6">
                  <c:v>42463.0</c:v>
                </c:pt>
                <c:pt idx="7">
                  <c:v>42464.0</c:v>
                </c:pt>
                <c:pt idx="8">
                  <c:v>42465.0</c:v>
                </c:pt>
                <c:pt idx="9">
                  <c:v>42466.0</c:v>
                </c:pt>
                <c:pt idx="10">
                  <c:v>42467.0</c:v>
                </c:pt>
                <c:pt idx="11">
                  <c:v>42468.0</c:v>
                </c:pt>
                <c:pt idx="12">
                  <c:v>42469.0</c:v>
                </c:pt>
                <c:pt idx="13">
                  <c:v>42470.0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2567656"/>
        <c:axId val="21125741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567656"/>
        <c:axId val="2112574136"/>
      </c:lineChart>
      <c:catAx>
        <c:axId val="2112567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574136"/>
        <c:crosses val="autoZero"/>
        <c:auto val="1"/>
        <c:lblAlgn val="ctr"/>
        <c:lblOffset val="100"/>
        <c:noMultiLvlLbl val="1"/>
      </c:catAx>
      <c:valAx>
        <c:axId val="211257413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5676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4" Type="http://schemas.openxmlformats.org/officeDocument/2006/relationships/chart" Target="../charts/chart24.xml"/><Relationship Id="rId5" Type="http://schemas.openxmlformats.org/officeDocument/2006/relationships/chart" Target="../charts/chart25.xml"/><Relationship Id="rId1" Type="http://schemas.openxmlformats.org/officeDocument/2006/relationships/chart" Target="../charts/chart21.xml"/><Relationship Id="rId2" Type="http://schemas.openxmlformats.org/officeDocument/2006/relationships/chart" Target="../charts/chart2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4" Type="http://schemas.openxmlformats.org/officeDocument/2006/relationships/chart" Target="../charts/chart29.xml"/><Relationship Id="rId5" Type="http://schemas.openxmlformats.org/officeDocument/2006/relationships/chart" Target="../charts/chart30.xml"/><Relationship Id="rId1" Type="http://schemas.openxmlformats.org/officeDocument/2006/relationships/chart" Target="../charts/chart26.xml"/><Relationship Id="rId2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4" Type="http://schemas.openxmlformats.org/officeDocument/2006/relationships/chart" Target="../charts/chart34.xml"/><Relationship Id="rId5" Type="http://schemas.openxmlformats.org/officeDocument/2006/relationships/chart" Target="../charts/chart35.xml"/><Relationship Id="rId1" Type="http://schemas.openxmlformats.org/officeDocument/2006/relationships/chart" Target="../charts/chart31.xml"/><Relationship Id="rId2" Type="http://schemas.openxmlformats.org/officeDocument/2006/relationships/chart" Target="../charts/chart32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4" Type="http://schemas.openxmlformats.org/officeDocument/2006/relationships/chart" Target="../charts/chart39.xml"/><Relationship Id="rId5" Type="http://schemas.openxmlformats.org/officeDocument/2006/relationships/chart" Target="../charts/chart40.xml"/><Relationship Id="rId1" Type="http://schemas.openxmlformats.org/officeDocument/2006/relationships/chart" Target="../charts/chart36.xml"/><Relationship Id="rId2" Type="http://schemas.openxmlformats.org/officeDocument/2006/relationships/chart" Target="../charts/chart37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4" Type="http://schemas.openxmlformats.org/officeDocument/2006/relationships/chart" Target="../charts/chart44.xml"/><Relationship Id="rId5" Type="http://schemas.openxmlformats.org/officeDocument/2006/relationships/chart" Target="../charts/chart45.xml"/><Relationship Id="rId1" Type="http://schemas.openxmlformats.org/officeDocument/2006/relationships/chart" Target="../charts/chart41.xml"/><Relationship Id="rId2" Type="http://schemas.openxmlformats.org/officeDocument/2006/relationships/chart" Target="../charts/chart42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4" Type="http://schemas.openxmlformats.org/officeDocument/2006/relationships/chart" Target="../charts/chart49.xml"/><Relationship Id="rId5" Type="http://schemas.openxmlformats.org/officeDocument/2006/relationships/chart" Target="../charts/chart50.xml"/><Relationship Id="rId1" Type="http://schemas.openxmlformats.org/officeDocument/2006/relationships/chart" Target="../charts/chart46.xml"/><Relationship Id="rId2" Type="http://schemas.openxmlformats.org/officeDocument/2006/relationships/chart" Target="../charts/chart47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4" Type="http://schemas.openxmlformats.org/officeDocument/2006/relationships/chart" Target="../charts/chart54.xml"/><Relationship Id="rId5" Type="http://schemas.openxmlformats.org/officeDocument/2006/relationships/chart" Target="../charts/chart55.xml"/><Relationship Id="rId1" Type="http://schemas.openxmlformats.org/officeDocument/2006/relationships/chart" Target="../charts/chart51.xml"/><Relationship Id="rId2" Type="http://schemas.openxmlformats.org/officeDocument/2006/relationships/chart" Target="../charts/chart52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4" Type="http://schemas.openxmlformats.org/officeDocument/2006/relationships/chart" Target="../charts/chart59.xml"/><Relationship Id="rId5" Type="http://schemas.openxmlformats.org/officeDocument/2006/relationships/chart" Target="../charts/chart60.xml"/><Relationship Id="rId1" Type="http://schemas.openxmlformats.org/officeDocument/2006/relationships/chart" Target="../charts/chart56.xml"/><Relationship Id="rId2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29"/>
  <sheetViews>
    <sheetView workbookViewId="0">
      <selection activeCell="O19" sqref="O19:Y22"/>
    </sheetView>
  </sheetViews>
  <sheetFormatPr baseColWidth="10" defaultColWidth="8.83203125" defaultRowHeight="14" x14ac:dyDescent="0"/>
  <cols>
    <col min="1" max="1" width="9.1640625" customWidth="1"/>
    <col min="2" max="2" width="15.6640625" customWidth="1"/>
    <col min="3" max="3" width="9.1640625" customWidth="1"/>
  </cols>
  <sheetData>
    <row r="1" spans="1:25" ht="18">
      <c r="C1" s="69" t="s">
        <v>24</v>
      </c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25" s="10" customFormat="1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">
      <c r="B3" s="31" t="s">
        <v>36</v>
      </c>
      <c r="C3" s="77" t="s">
        <v>22</v>
      </c>
      <c r="D3" s="78"/>
      <c r="E3" s="78"/>
      <c r="F3" s="78"/>
      <c r="G3" s="78"/>
      <c r="H3" s="78"/>
      <c r="I3" s="78"/>
      <c r="J3" s="78"/>
      <c r="K3" s="78"/>
      <c r="L3" s="78"/>
      <c r="M3" s="78"/>
      <c r="N3" s="78" t="s">
        <v>23</v>
      </c>
      <c r="O3" s="78"/>
      <c r="P3" s="78"/>
      <c r="Q3" s="78"/>
      <c r="R3" s="78"/>
      <c r="S3" s="78"/>
      <c r="T3" s="78"/>
      <c r="U3" s="78"/>
      <c r="V3" s="78"/>
      <c r="W3" s="78"/>
      <c r="X3" s="78"/>
      <c r="Y3" s="79"/>
    </row>
    <row r="4" spans="1:25" ht="15">
      <c r="C4" s="74" t="s">
        <v>12</v>
      </c>
      <c r="D4" s="74"/>
      <c r="E4" s="74"/>
      <c r="F4" s="74" t="s">
        <v>11</v>
      </c>
      <c r="G4" s="74"/>
      <c r="H4" s="74" t="s">
        <v>13</v>
      </c>
      <c r="I4" s="74"/>
      <c r="J4" s="74" t="s">
        <v>14</v>
      </c>
      <c r="K4" s="74"/>
      <c r="L4" s="71" t="s">
        <v>15</v>
      </c>
      <c r="M4" s="72"/>
      <c r="N4" s="72" t="s">
        <v>16</v>
      </c>
      <c r="O4" s="73"/>
      <c r="P4" s="74" t="s">
        <v>17</v>
      </c>
      <c r="Q4" s="74"/>
      <c r="R4" s="74" t="s">
        <v>18</v>
      </c>
      <c r="S4" s="74"/>
      <c r="T4" s="74" t="s">
        <v>19</v>
      </c>
      <c r="U4" s="74"/>
      <c r="V4" s="74" t="s">
        <v>20</v>
      </c>
      <c r="W4" s="74"/>
      <c r="X4" s="74" t="s">
        <v>21</v>
      </c>
      <c r="Y4" s="74"/>
    </row>
    <row r="5" spans="1:25" s="6" customFormat="1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>
      <c r="A7" s="75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1.5</v>
      </c>
      <c r="O7" s="22">
        <f>SUM('Sprint 5'!J6:P6)</f>
        <v>12</v>
      </c>
      <c r="P7" s="22">
        <f>SUM('Sprint 6'!C6:I6)</f>
        <v>0</v>
      </c>
      <c r="Q7" s="22">
        <f>SUM('Sprint 6'!J6:P6)</f>
        <v>20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>
      <c r="A8" s="75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10</v>
      </c>
      <c r="O8" s="22">
        <f>SUM('Sprint 5'!J7:P7)</f>
        <v>6</v>
      </c>
      <c r="P8" s="22">
        <f>SUM('Sprint 6'!C7:I7)</f>
        <v>8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>
      <c r="A9" s="75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12</v>
      </c>
      <c r="O9" s="22">
        <f>SUM('Sprint 5'!J8:P8)</f>
        <v>5</v>
      </c>
      <c r="P9" s="22">
        <f>SUM('Sprint 6'!C8:I8)</f>
        <v>4</v>
      </c>
      <c r="Q9" s="22">
        <f>SUM('Sprint 6'!J8:P8)</f>
        <v>9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>
      <c r="A10" s="75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">
      <c r="A11" s="75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23.5</v>
      </c>
      <c r="O11" s="65">
        <f t="shared" ref="O11:Y11" si="3">SUM(O7:O10)</f>
        <v>23</v>
      </c>
      <c r="P11" s="65">
        <f t="shared" si="3"/>
        <v>12</v>
      </c>
      <c r="Q11" s="65">
        <f t="shared" si="3"/>
        <v>29</v>
      </c>
      <c r="R11" s="65">
        <f t="shared" si="3"/>
        <v>0</v>
      </c>
      <c r="S11" s="65">
        <f t="shared" si="3"/>
        <v>0</v>
      </c>
      <c r="T11" s="65">
        <f t="shared" si="3"/>
        <v>0</v>
      </c>
      <c r="U11" s="65">
        <f t="shared" si="3"/>
        <v>0</v>
      </c>
      <c r="V11" s="65">
        <f t="shared" si="3"/>
        <v>0</v>
      </c>
      <c r="W11" s="65">
        <f t="shared" si="3"/>
        <v>0</v>
      </c>
      <c r="X11" s="65">
        <f t="shared" si="3"/>
        <v>0</v>
      </c>
      <c r="Y11" s="65">
        <f t="shared" si="3"/>
        <v>0</v>
      </c>
    </row>
    <row r="12" spans="1:25">
      <c r="A12" s="6"/>
      <c r="M12" s="48"/>
      <c r="N12" s="49"/>
    </row>
    <row r="13" spans="1:25">
      <c r="A13" s="75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>
      <c r="A14" s="75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>
      <c r="A15" s="75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>
      <c r="A16" s="75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">
      <c r="A17" s="75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2</v>
      </c>
      <c r="M17" s="21">
        <f t="shared" ref="M17" si="13" xml:space="preserve"> SUM(M13:M16)</f>
        <v>0.5</v>
      </c>
      <c r="N17" s="47">
        <f>SUM(N13:N16)</f>
        <v>0</v>
      </c>
      <c r="O17" s="65">
        <f t="shared" ref="O17" si="14">SUM(O13:O16)</f>
        <v>0</v>
      </c>
      <c r="P17" s="65">
        <f t="shared" ref="P17" si="15">SUM(P13:P16)</f>
        <v>0</v>
      </c>
      <c r="Q17" s="65">
        <f t="shared" ref="Q17" si="16">SUM(Q13:Q16)</f>
        <v>0</v>
      </c>
      <c r="R17" s="65">
        <f t="shared" ref="R17" si="17">SUM(R13:R16)</f>
        <v>0</v>
      </c>
      <c r="S17" s="65">
        <f t="shared" ref="S17" si="18">SUM(S13:S16)</f>
        <v>0</v>
      </c>
      <c r="T17" s="65">
        <f t="shared" ref="T17" si="19">SUM(T13:T16)</f>
        <v>0</v>
      </c>
      <c r="U17" s="65">
        <f t="shared" ref="U17" si="20">SUM(U13:U16)</f>
        <v>0</v>
      </c>
      <c r="V17" s="65">
        <f t="shared" ref="V17" si="21">SUM(V13:V16)</f>
        <v>0</v>
      </c>
      <c r="W17" s="65">
        <f t="shared" ref="W17" si="22">SUM(W13:W16)</f>
        <v>0</v>
      </c>
      <c r="X17" s="65">
        <f t="shared" ref="X17" si="23">SUM(X13:X16)</f>
        <v>0</v>
      </c>
      <c r="Y17" s="65">
        <f t="shared" ref="Y17" si="24">SUM(Y13:Y16)</f>
        <v>0</v>
      </c>
    </row>
    <row r="18" spans="1:25">
      <c r="M18" s="48"/>
      <c r="N18" s="49"/>
    </row>
    <row r="19" spans="1:25">
      <c r="A19" s="76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25" xml:space="preserve"> D19 + E7 + E13</f>
        <v>11.5</v>
      </c>
      <c r="F19" s="25">
        <f t="shared" si="25"/>
        <v>12.5</v>
      </c>
      <c r="G19" s="25">
        <f t="shared" si="25"/>
        <v>18.5</v>
      </c>
      <c r="H19" s="25">
        <f t="shared" si="25"/>
        <v>23.5</v>
      </c>
      <c r="I19" s="25">
        <f t="shared" si="25"/>
        <v>34</v>
      </c>
      <c r="J19" s="25">
        <f t="shared" si="25"/>
        <v>45</v>
      </c>
      <c r="K19" s="25">
        <f t="shared" si="25"/>
        <v>54</v>
      </c>
      <c r="L19" s="25">
        <f t="shared" si="25"/>
        <v>60</v>
      </c>
      <c r="M19" s="25">
        <f t="shared" si="25"/>
        <v>69</v>
      </c>
      <c r="N19" s="45">
        <f t="shared" ref="N19:O22" si="26" xml:space="preserve"> M19 + N7 + N13</f>
        <v>70.5</v>
      </c>
      <c r="O19" s="25">
        <f t="shared" si="26"/>
        <v>82.5</v>
      </c>
      <c r="P19" s="25">
        <f t="shared" ref="P19:Y19" si="27" xml:space="preserve"> O19 + P7 + P13</f>
        <v>82.5</v>
      </c>
      <c r="Q19" s="25">
        <f t="shared" si="27"/>
        <v>102.5</v>
      </c>
      <c r="R19" s="25">
        <f t="shared" si="27"/>
        <v>102.5</v>
      </c>
      <c r="S19" s="25">
        <f t="shared" si="27"/>
        <v>102.5</v>
      </c>
      <c r="T19" s="25">
        <f t="shared" si="27"/>
        <v>102.5</v>
      </c>
      <c r="U19" s="25">
        <f t="shared" si="27"/>
        <v>102.5</v>
      </c>
      <c r="V19" s="25">
        <f t="shared" si="27"/>
        <v>102.5</v>
      </c>
      <c r="W19" s="25">
        <f t="shared" si="27"/>
        <v>102.5</v>
      </c>
      <c r="X19" s="25">
        <f t="shared" si="27"/>
        <v>102.5</v>
      </c>
      <c r="Y19" s="25">
        <f t="shared" si="27"/>
        <v>102.5</v>
      </c>
    </row>
    <row r="20" spans="1:25">
      <c r="A20" s="76"/>
      <c r="B20" s="8" t="str">
        <f xml:space="preserve"> CONCATENATE(Setup!$B$8, ", ", LEFT(Setup!$C$8,2))</f>
        <v>Spencer, SS</v>
      </c>
      <c r="C20" s="25">
        <f t="shared" ref="C20:C22" si="28" xml:space="preserve"> C8 + C14</f>
        <v>2.66</v>
      </c>
      <c r="D20" s="25">
        <f xml:space="preserve"> C20 + D8 + D14</f>
        <v>11.66</v>
      </c>
      <c r="E20" s="25">
        <f t="shared" ref="E20:M20" si="29" xml:space="preserve"> D20 + E8 + E14</f>
        <v>17.060000000000002</v>
      </c>
      <c r="F20" s="25">
        <f t="shared" si="29"/>
        <v>23.310000000000002</v>
      </c>
      <c r="G20" s="25">
        <f t="shared" si="29"/>
        <v>26.310000000000002</v>
      </c>
      <c r="H20" s="25">
        <f t="shared" si="29"/>
        <v>28.310000000000002</v>
      </c>
      <c r="I20" s="25">
        <f t="shared" si="29"/>
        <v>40.313000000000002</v>
      </c>
      <c r="J20" s="25">
        <f t="shared" si="29"/>
        <v>51.313000000000002</v>
      </c>
      <c r="K20" s="25">
        <f t="shared" si="29"/>
        <v>59.313000000000002</v>
      </c>
      <c r="L20" s="25">
        <f t="shared" si="29"/>
        <v>61.313000000000002</v>
      </c>
      <c r="M20" s="25">
        <f t="shared" si="29"/>
        <v>67.313000000000002</v>
      </c>
      <c r="N20" s="45">
        <f t="shared" si="26"/>
        <v>77.313000000000002</v>
      </c>
      <c r="O20" s="25">
        <f t="shared" si="26"/>
        <v>83.313000000000002</v>
      </c>
      <c r="P20" s="25">
        <f t="shared" ref="P20:Y20" si="30" xml:space="preserve"> O20 + P8 + P14</f>
        <v>91.313000000000002</v>
      </c>
      <c r="Q20" s="25">
        <f t="shared" si="30"/>
        <v>91.313000000000002</v>
      </c>
      <c r="R20" s="25">
        <f t="shared" si="30"/>
        <v>91.313000000000002</v>
      </c>
      <c r="S20" s="25">
        <f t="shared" si="30"/>
        <v>91.313000000000002</v>
      </c>
      <c r="T20" s="25">
        <f t="shared" si="30"/>
        <v>91.313000000000002</v>
      </c>
      <c r="U20" s="25">
        <f t="shared" si="30"/>
        <v>91.313000000000002</v>
      </c>
      <c r="V20" s="25">
        <f t="shared" si="30"/>
        <v>91.313000000000002</v>
      </c>
      <c r="W20" s="25">
        <f t="shared" si="30"/>
        <v>91.313000000000002</v>
      </c>
      <c r="X20" s="25">
        <f t="shared" si="30"/>
        <v>91.313000000000002</v>
      </c>
      <c r="Y20" s="25">
        <f t="shared" si="30"/>
        <v>91.313000000000002</v>
      </c>
    </row>
    <row r="21" spans="1:25">
      <c r="A21" s="76"/>
      <c r="B21" s="8" t="str">
        <f xml:space="preserve"> CONCATENATE(Setup!$B$9, ", ", LEFT(Setup!$C$9,2))</f>
        <v>Dylan, DW</v>
      </c>
      <c r="C21" s="25">
        <f t="shared" si="28"/>
        <v>1.25</v>
      </c>
      <c r="D21" s="25">
        <f xml:space="preserve"> C21 + D9 + D15</f>
        <v>4.25</v>
      </c>
      <c r="E21" s="25">
        <f t="shared" ref="E21:M21" si="31" xml:space="preserve"> D21 + E9 + E15</f>
        <v>13.25</v>
      </c>
      <c r="F21" s="25">
        <f t="shared" si="31"/>
        <v>16.75</v>
      </c>
      <c r="G21" s="25">
        <f t="shared" si="31"/>
        <v>18.25</v>
      </c>
      <c r="H21" s="25">
        <f t="shared" si="31"/>
        <v>23.317</v>
      </c>
      <c r="I21" s="25">
        <f t="shared" si="31"/>
        <v>28.817</v>
      </c>
      <c r="J21" s="25">
        <f t="shared" si="31"/>
        <v>34.817</v>
      </c>
      <c r="K21" s="25">
        <f t="shared" si="31"/>
        <v>39.817</v>
      </c>
      <c r="L21" s="25">
        <f t="shared" si="31"/>
        <v>41.817</v>
      </c>
      <c r="M21" s="25">
        <f t="shared" si="31"/>
        <v>42.317</v>
      </c>
      <c r="N21" s="45">
        <f t="shared" si="26"/>
        <v>54.317</v>
      </c>
      <c r="O21" s="25">
        <f t="shared" si="26"/>
        <v>59.317</v>
      </c>
      <c r="P21" s="25">
        <f t="shared" ref="P21:Y21" si="32" xml:space="preserve"> O21 + P9 + P15</f>
        <v>63.317</v>
      </c>
      <c r="Q21" s="25">
        <f t="shared" si="32"/>
        <v>72.317000000000007</v>
      </c>
      <c r="R21" s="25">
        <f t="shared" si="32"/>
        <v>72.317000000000007</v>
      </c>
      <c r="S21" s="25">
        <f t="shared" si="32"/>
        <v>72.317000000000007</v>
      </c>
      <c r="T21" s="25">
        <f t="shared" si="32"/>
        <v>72.317000000000007</v>
      </c>
      <c r="U21" s="25">
        <f t="shared" si="32"/>
        <v>72.317000000000007</v>
      </c>
      <c r="V21" s="25">
        <f t="shared" si="32"/>
        <v>72.317000000000007</v>
      </c>
      <c r="W21" s="25">
        <f t="shared" si="32"/>
        <v>72.317000000000007</v>
      </c>
      <c r="X21" s="25">
        <f t="shared" si="32"/>
        <v>72.317000000000007</v>
      </c>
      <c r="Y21" s="25">
        <f t="shared" si="32"/>
        <v>72.317000000000007</v>
      </c>
    </row>
    <row r="22" spans="1:25">
      <c r="A22" s="76"/>
      <c r="B22" s="8" t="e">
        <f xml:space="preserve"> CONCATENATE(Setup!#REF!, ", ", LEFT(Setup!#REF!,2))</f>
        <v>#REF!</v>
      </c>
      <c r="C22" s="25">
        <f t="shared" si="28"/>
        <v>0</v>
      </c>
      <c r="D22" s="25">
        <f xml:space="preserve"> C22 + D10 + D16</f>
        <v>0</v>
      </c>
      <c r="E22" s="25">
        <f t="shared" ref="E22:M22" si="33" xml:space="preserve"> D22 + E10 + E16</f>
        <v>0</v>
      </c>
      <c r="F22" s="25">
        <f t="shared" si="33"/>
        <v>0</v>
      </c>
      <c r="G22" s="25">
        <f t="shared" si="33"/>
        <v>0</v>
      </c>
      <c r="H22" s="25">
        <f t="shared" si="33"/>
        <v>0</v>
      </c>
      <c r="I22" s="25">
        <f t="shared" si="33"/>
        <v>0</v>
      </c>
      <c r="J22" s="25">
        <f t="shared" si="33"/>
        <v>0</v>
      </c>
      <c r="K22" s="25">
        <f t="shared" si="33"/>
        <v>0</v>
      </c>
      <c r="L22" s="25">
        <f t="shared" si="33"/>
        <v>0</v>
      </c>
      <c r="M22" s="25">
        <f t="shared" si="33"/>
        <v>0</v>
      </c>
      <c r="N22" s="45">
        <f t="shared" si="26"/>
        <v>0</v>
      </c>
      <c r="O22" s="25">
        <f t="shared" si="26"/>
        <v>0</v>
      </c>
      <c r="P22" s="25">
        <f t="shared" ref="P22:Y22" si="34" xml:space="preserve"> O22 + P10 + P16</f>
        <v>0</v>
      </c>
      <c r="Q22" s="25">
        <f t="shared" si="34"/>
        <v>0</v>
      </c>
      <c r="R22" s="25">
        <f t="shared" si="34"/>
        <v>0</v>
      </c>
      <c r="S22" s="25">
        <f t="shared" si="34"/>
        <v>0</v>
      </c>
      <c r="T22" s="25">
        <f t="shared" si="34"/>
        <v>0</v>
      </c>
      <c r="U22" s="25">
        <f t="shared" si="34"/>
        <v>0</v>
      </c>
      <c r="V22" s="25">
        <f t="shared" si="34"/>
        <v>0</v>
      </c>
      <c r="W22" s="25">
        <f t="shared" si="34"/>
        <v>0</v>
      </c>
      <c r="X22" s="25">
        <f t="shared" si="34"/>
        <v>0</v>
      </c>
      <c r="Y22" s="25">
        <f t="shared" si="34"/>
        <v>0</v>
      </c>
    </row>
    <row r="23" spans="1:25" ht="15">
      <c r="A23" s="76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35" xml:space="preserve"> D23 + E11 + E17</f>
        <v>41.81</v>
      </c>
      <c r="F23" s="21">
        <f t="shared" si="35"/>
        <v>52.56</v>
      </c>
      <c r="G23" s="21">
        <f t="shared" si="35"/>
        <v>63.06</v>
      </c>
      <c r="H23" s="21">
        <f t="shared" si="35"/>
        <v>75.12700000000001</v>
      </c>
      <c r="I23" s="21">
        <f t="shared" si="35"/>
        <v>103.13000000000001</v>
      </c>
      <c r="J23" s="21">
        <f t="shared" si="35"/>
        <v>131.13</v>
      </c>
      <c r="K23" s="21">
        <f t="shared" si="35"/>
        <v>153.13</v>
      </c>
      <c r="L23" s="21">
        <f t="shared" si="35"/>
        <v>163.13</v>
      </c>
      <c r="M23" s="46">
        <f t="shared" si="35"/>
        <v>178.63</v>
      </c>
      <c r="N23" s="47">
        <f t="shared" si="35"/>
        <v>202.13</v>
      </c>
      <c r="O23" s="21">
        <f t="shared" si="35"/>
        <v>225.13</v>
      </c>
      <c r="P23" s="21">
        <f t="shared" si="35"/>
        <v>237.13</v>
      </c>
      <c r="Q23" s="21">
        <f t="shared" si="35"/>
        <v>266.13</v>
      </c>
      <c r="R23" s="21">
        <f t="shared" si="35"/>
        <v>266.13</v>
      </c>
      <c r="S23" s="21">
        <f t="shared" si="35"/>
        <v>266.13</v>
      </c>
      <c r="T23" s="21">
        <f t="shared" si="35"/>
        <v>266.13</v>
      </c>
      <c r="U23" s="21">
        <f t="shared" si="35"/>
        <v>266.13</v>
      </c>
      <c r="V23" s="21">
        <f t="shared" si="35"/>
        <v>266.13</v>
      </c>
      <c r="W23" s="21">
        <f t="shared" si="35"/>
        <v>266.13</v>
      </c>
      <c r="X23" s="21">
        <f t="shared" si="35"/>
        <v>266.13</v>
      </c>
      <c r="Y23" s="21">
        <f t="shared" si="35"/>
        <v>266.13</v>
      </c>
    </row>
    <row r="24" spans="1:25" ht="15">
      <c r="A24" s="19"/>
      <c r="B24" s="20"/>
      <c r="M24" s="48"/>
      <c r="N24" s="49"/>
    </row>
    <row r="25" spans="1:25">
      <c r="A25" s="76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36" xml:space="preserve"> D19 / D$6</f>
        <v>3.5</v>
      </c>
      <c r="E25" s="29">
        <f t="shared" si="36"/>
        <v>3.8333333333333335</v>
      </c>
      <c r="F25" s="29">
        <f t="shared" ref="F25:Y25" si="37" xml:space="preserve"> F19 / F$6</f>
        <v>3.125</v>
      </c>
      <c r="G25" s="29">
        <f t="shared" si="37"/>
        <v>3.7</v>
      </c>
      <c r="H25" s="29">
        <f t="shared" si="37"/>
        <v>3.9166666666666665</v>
      </c>
      <c r="I25" s="29">
        <f t="shared" si="37"/>
        <v>4.8571428571428568</v>
      </c>
      <c r="J25" s="29">
        <f t="shared" si="37"/>
        <v>5.625</v>
      </c>
      <c r="K25" s="29">
        <f t="shared" si="37"/>
        <v>6</v>
      </c>
      <c r="L25" s="29">
        <f t="shared" si="37"/>
        <v>6</v>
      </c>
      <c r="M25" s="50">
        <f t="shared" si="37"/>
        <v>6.2727272727272725</v>
      </c>
      <c r="N25" s="51">
        <f t="shared" si="37"/>
        <v>5.875</v>
      </c>
      <c r="O25" s="29">
        <f t="shared" si="37"/>
        <v>6.3461538461538458</v>
      </c>
      <c r="P25" s="29">
        <f t="shared" si="37"/>
        <v>5.8928571428571432</v>
      </c>
      <c r="Q25" s="29">
        <f t="shared" si="37"/>
        <v>6.833333333333333</v>
      </c>
      <c r="R25" s="29">
        <f t="shared" si="37"/>
        <v>6.40625</v>
      </c>
      <c r="S25" s="29">
        <f t="shared" si="37"/>
        <v>6.0294117647058822</v>
      </c>
      <c r="T25" s="29">
        <f t="shared" si="37"/>
        <v>5.6944444444444446</v>
      </c>
      <c r="U25" s="29">
        <f t="shared" si="37"/>
        <v>5.3947368421052628</v>
      </c>
      <c r="V25" s="29">
        <f t="shared" si="37"/>
        <v>5.125</v>
      </c>
      <c r="W25" s="29">
        <f t="shared" si="37"/>
        <v>4.8809523809523814</v>
      </c>
      <c r="X25" s="29">
        <f t="shared" si="37"/>
        <v>4.6590909090909092</v>
      </c>
      <c r="Y25" s="29">
        <f t="shared" si="37"/>
        <v>4.4565217391304346</v>
      </c>
    </row>
    <row r="26" spans="1:25">
      <c r="A26" s="76"/>
      <c r="B26" s="8" t="str">
        <f xml:space="preserve"> CONCATENATE(Setup!$B$8, ", ", LEFT(Setup!$C$8,2))</f>
        <v>Spencer, SS</v>
      </c>
      <c r="C26" s="29">
        <f t="shared" ref="C26:E29" si="38" xml:space="preserve"> C20 / C$6</f>
        <v>2.66</v>
      </c>
      <c r="D26" s="29">
        <f t="shared" si="38"/>
        <v>5.83</v>
      </c>
      <c r="E26" s="29">
        <f t="shared" si="38"/>
        <v>5.6866666666666674</v>
      </c>
      <c r="F26" s="29">
        <f t="shared" ref="F26:Y26" si="39" xml:space="preserve"> F20 / F$6</f>
        <v>5.8275000000000006</v>
      </c>
      <c r="G26" s="29">
        <f t="shared" si="39"/>
        <v>5.2620000000000005</v>
      </c>
      <c r="H26" s="29">
        <f t="shared" si="39"/>
        <v>4.7183333333333337</v>
      </c>
      <c r="I26" s="29">
        <f t="shared" si="39"/>
        <v>5.7590000000000003</v>
      </c>
      <c r="J26" s="29">
        <f t="shared" si="39"/>
        <v>6.4141250000000003</v>
      </c>
      <c r="K26" s="29">
        <f t="shared" si="39"/>
        <v>6.5903333333333336</v>
      </c>
      <c r="L26" s="29">
        <f t="shared" si="39"/>
        <v>6.1313000000000004</v>
      </c>
      <c r="M26" s="50">
        <f t="shared" si="39"/>
        <v>6.1193636363636363</v>
      </c>
      <c r="N26" s="51">
        <f t="shared" si="39"/>
        <v>6.4427500000000002</v>
      </c>
      <c r="O26" s="29">
        <f t="shared" si="39"/>
        <v>6.4086923076923075</v>
      </c>
      <c r="P26" s="29">
        <f t="shared" si="39"/>
        <v>6.5223571428571434</v>
      </c>
      <c r="Q26" s="29">
        <f t="shared" si="39"/>
        <v>6.0875333333333339</v>
      </c>
      <c r="R26" s="29">
        <f t="shared" si="39"/>
        <v>5.7070625000000001</v>
      </c>
      <c r="S26" s="29">
        <f t="shared" si="39"/>
        <v>5.3713529411764709</v>
      </c>
      <c r="T26" s="29">
        <f t="shared" si="39"/>
        <v>5.0729444444444445</v>
      </c>
      <c r="U26" s="29">
        <f t="shared" si="39"/>
        <v>4.8059473684210525</v>
      </c>
      <c r="V26" s="29">
        <f t="shared" si="39"/>
        <v>4.5656499999999998</v>
      </c>
      <c r="W26" s="29">
        <f t="shared" si="39"/>
        <v>4.348238095238095</v>
      </c>
      <c r="X26" s="29">
        <f t="shared" si="39"/>
        <v>4.1505909090909094</v>
      </c>
      <c r="Y26" s="29">
        <f t="shared" si="39"/>
        <v>3.9701304347826087</v>
      </c>
    </row>
    <row r="27" spans="1:25">
      <c r="A27" s="76"/>
      <c r="B27" s="8" t="str">
        <f xml:space="preserve"> CONCATENATE(Setup!$B$9, ", ", LEFT(Setup!$C$9,2))</f>
        <v>Dylan, DW</v>
      </c>
      <c r="C27" s="29">
        <f t="shared" si="38"/>
        <v>1.25</v>
      </c>
      <c r="D27" s="29">
        <f t="shared" si="38"/>
        <v>2.125</v>
      </c>
      <c r="E27" s="29">
        <f t="shared" si="38"/>
        <v>4.416666666666667</v>
      </c>
      <c r="F27" s="29">
        <f t="shared" ref="F27:Y27" si="40" xml:space="preserve"> F21 / F$6</f>
        <v>4.1875</v>
      </c>
      <c r="G27" s="29">
        <f t="shared" si="40"/>
        <v>3.65</v>
      </c>
      <c r="H27" s="29">
        <f t="shared" si="40"/>
        <v>3.8861666666666665</v>
      </c>
      <c r="I27" s="29">
        <f t="shared" si="40"/>
        <v>4.116714285714286</v>
      </c>
      <c r="J27" s="29">
        <f t="shared" si="40"/>
        <v>4.352125</v>
      </c>
      <c r="K27" s="29">
        <f t="shared" si="40"/>
        <v>4.4241111111111113</v>
      </c>
      <c r="L27" s="29">
        <f t="shared" si="40"/>
        <v>4.1817000000000002</v>
      </c>
      <c r="M27" s="50">
        <f t="shared" si="40"/>
        <v>3.847</v>
      </c>
      <c r="N27" s="51">
        <f t="shared" si="40"/>
        <v>4.526416666666667</v>
      </c>
      <c r="O27" s="29">
        <f t="shared" si="40"/>
        <v>4.562846153846154</v>
      </c>
      <c r="P27" s="29">
        <f t="shared" si="40"/>
        <v>4.5226428571428574</v>
      </c>
      <c r="Q27" s="29">
        <f t="shared" si="40"/>
        <v>4.8211333333333339</v>
      </c>
      <c r="R27" s="29">
        <f t="shared" si="40"/>
        <v>4.5198125000000005</v>
      </c>
      <c r="S27" s="29">
        <f t="shared" si="40"/>
        <v>4.2539411764705886</v>
      </c>
      <c r="T27" s="29">
        <f t="shared" si="40"/>
        <v>4.0176111111111119</v>
      </c>
      <c r="U27" s="29">
        <f t="shared" si="40"/>
        <v>3.8061578947368426</v>
      </c>
      <c r="V27" s="29">
        <f t="shared" si="40"/>
        <v>3.6158500000000005</v>
      </c>
      <c r="W27" s="29">
        <f t="shared" si="40"/>
        <v>3.4436666666666671</v>
      </c>
      <c r="X27" s="29">
        <f t="shared" si="40"/>
        <v>3.287136363636364</v>
      </c>
      <c r="Y27" s="29">
        <f t="shared" si="40"/>
        <v>3.1442173913043483</v>
      </c>
    </row>
    <row r="28" spans="1:25">
      <c r="A28" s="76"/>
      <c r="B28" s="8" t="e">
        <f xml:space="preserve"> CONCATENATE(Setup!#REF!, ", ", LEFT(Setup!#REF!,2))</f>
        <v>#REF!</v>
      </c>
      <c r="C28" s="29">
        <f t="shared" si="38"/>
        <v>0</v>
      </c>
      <c r="D28" s="29">
        <f t="shared" si="38"/>
        <v>0</v>
      </c>
      <c r="E28" s="29">
        <f t="shared" si="38"/>
        <v>0</v>
      </c>
      <c r="F28" s="29">
        <f t="shared" ref="F28:Y28" si="41" xml:space="preserve"> F22 / F$6</f>
        <v>0</v>
      </c>
      <c r="G28" s="29">
        <f t="shared" si="41"/>
        <v>0</v>
      </c>
      <c r="H28" s="29">
        <f t="shared" si="41"/>
        <v>0</v>
      </c>
      <c r="I28" s="29">
        <f t="shared" si="41"/>
        <v>0</v>
      </c>
      <c r="J28" s="29">
        <f t="shared" si="41"/>
        <v>0</v>
      </c>
      <c r="K28" s="29">
        <f t="shared" si="41"/>
        <v>0</v>
      </c>
      <c r="L28" s="29">
        <f t="shared" si="41"/>
        <v>0</v>
      </c>
      <c r="M28" s="50">
        <f t="shared" si="41"/>
        <v>0</v>
      </c>
      <c r="N28" s="51">
        <f t="shared" si="41"/>
        <v>0</v>
      </c>
      <c r="O28" s="29">
        <f t="shared" si="41"/>
        <v>0</v>
      </c>
      <c r="P28" s="29">
        <f t="shared" si="41"/>
        <v>0</v>
      </c>
      <c r="Q28" s="29">
        <f t="shared" si="41"/>
        <v>0</v>
      </c>
      <c r="R28" s="29">
        <f t="shared" si="41"/>
        <v>0</v>
      </c>
      <c r="S28" s="29">
        <f t="shared" si="41"/>
        <v>0</v>
      </c>
      <c r="T28" s="29">
        <f t="shared" si="41"/>
        <v>0</v>
      </c>
      <c r="U28" s="29">
        <f t="shared" si="41"/>
        <v>0</v>
      </c>
      <c r="V28" s="29">
        <f t="shared" si="41"/>
        <v>0</v>
      </c>
      <c r="W28" s="29">
        <f t="shared" si="41"/>
        <v>0</v>
      </c>
      <c r="X28" s="29">
        <f t="shared" si="41"/>
        <v>0</v>
      </c>
      <c r="Y28" s="29">
        <f t="shared" si="41"/>
        <v>0</v>
      </c>
    </row>
    <row r="29" spans="1:25" ht="15">
      <c r="A29" s="76"/>
      <c r="B29" s="9" t="s">
        <v>30</v>
      </c>
      <c r="C29" s="30">
        <f t="shared" si="38"/>
        <v>5.91</v>
      </c>
      <c r="D29" s="30">
        <f t="shared" si="38"/>
        <v>11.455</v>
      </c>
      <c r="E29" s="30">
        <f t="shared" si="38"/>
        <v>13.936666666666667</v>
      </c>
      <c r="F29" s="30">
        <f t="shared" ref="F29:Y29" si="42" xml:space="preserve"> F23 / F$6</f>
        <v>13.14</v>
      </c>
      <c r="G29" s="30">
        <f t="shared" si="42"/>
        <v>12.612</v>
      </c>
      <c r="H29" s="30">
        <f t="shared" si="42"/>
        <v>12.521166666666668</v>
      </c>
      <c r="I29" s="30">
        <f t="shared" si="42"/>
        <v>14.732857142857144</v>
      </c>
      <c r="J29" s="30">
        <f t="shared" si="42"/>
        <v>16.391249999999999</v>
      </c>
      <c r="K29" s="30">
        <f t="shared" si="42"/>
        <v>17.014444444444443</v>
      </c>
      <c r="L29" s="30">
        <f t="shared" si="42"/>
        <v>16.312999999999999</v>
      </c>
      <c r="M29" s="52">
        <f t="shared" si="42"/>
        <v>16.239090909090908</v>
      </c>
      <c r="N29" s="53">
        <f t="shared" si="42"/>
        <v>16.844166666666666</v>
      </c>
      <c r="O29" s="30">
        <f t="shared" si="42"/>
        <v>17.317692307692308</v>
      </c>
      <c r="P29" s="30">
        <f t="shared" si="42"/>
        <v>16.937857142857144</v>
      </c>
      <c r="Q29" s="30">
        <f t="shared" si="42"/>
        <v>17.742000000000001</v>
      </c>
      <c r="R29" s="30">
        <f t="shared" si="42"/>
        <v>16.633125</v>
      </c>
      <c r="S29" s="30">
        <f t="shared" si="42"/>
        <v>15.654705882352941</v>
      </c>
      <c r="T29" s="30">
        <f t="shared" si="42"/>
        <v>14.785</v>
      </c>
      <c r="U29" s="30">
        <f t="shared" si="42"/>
        <v>14.006842105263157</v>
      </c>
      <c r="V29" s="30">
        <f t="shared" si="42"/>
        <v>13.3065</v>
      </c>
      <c r="W29" s="30">
        <f t="shared" si="42"/>
        <v>12.672857142857143</v>
      </c>
      <c r="X29" s="30">
        <f t="shared" si="42"/>
        <v>12.096818181818181</v>
      </c>
      <c r="Y29" s="30">
        <f t="shared" si="42"/>
        <v>11.570869565217391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W47"/>
  <sheetViews>
    <sheetView workbookViewId="0">
      <selection activeCell="C4" sqref="C4"/>
    </sheetView>
  </sheetViews>
  <sheetFormatPr baseColWidth="10" defaultColWidth="8.83203125" defaultRowHeight="14" x14ac:dyDescent="0"/>
  <cols>
    <col min="2" max="2" width="15.6640625" customWidth="1"/>
  </cols>
  <sheetData>
    <row r="1" spans="1:23" ht="18">
      <c r="C1" s="14" t="s">
        <v>29</v>
      </c>
    </row>
    <row r="2" spans="1:23" ht="18">
      <c r="B2" s="23" t="str">
        <f>SheetName</f>
        <v>Sprint 0</v>
      </c>
      <c r="C2" s="27" t="s">
        <v>38</v>
      </c>
    </row>
    <row r="3" spans="1:23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" thickBot="1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" thickBot="1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" thickTop="1" thickBot="1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" thickTop="1" thickBot="1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" thickTop="1" thickBot="1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" thickBot="1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" thickBot="1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" thickBot="1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" thickBot="1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" thickBot="1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" thickBot="1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" thickTop="1" thickBot="1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" thickTop="1" thickBot="1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" thickTop="1" thickBot="1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" thickBot="1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" thickBot="1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" thickBot="1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" thickBot="1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" thickBot="1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" thickBot="1">
      <c r="A38" s="80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" thickBot="1">
      <c r="A39" s="80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" thickBot="1">
      <c r="A40" s="80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" thickBot="1">
      <c r="A41" s="80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" thickBot="1">
      <c r="A42" s="19"/>
    </row>
    <row r="43" spans="1:23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" thickBot="1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" thickBot="1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" thickBot="1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" thickBot="1">
      <c r="A47" s="80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workbookViewId="0">
      <selection activeCell="C6" sqref="C6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1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2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3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" thickBot="1">
      <c r="A47" s="80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S13" sqref="S1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4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6</v>
      </c>
      <c r="E38" s="25">
        <f xml:space="preserve"> SUM(C38:D38)</f>
        <v>8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2</v>
      </c>
      <c r="D39" s="25">
        <f t="shared" si="19"/>
        <v>0.5</v>
      </c>
      <c r="E39" s="25">
        <f xml:space="preserve"> SUM(C39:D39)</f>
        <v>2.5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10</v>
      </c>
      <c r="D41" s="21">
        <f t="shared" ref="D41" si="20" xml:space="preserve"> SUM(D37:D40)</f>
        <v>15.5</v>
      </c>
      <c r="E41" s="21">
        <f xml:space="preserve"> SUM(C41:D41)</f>
        <v>25.5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4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2</v>
      </c>
      <c r="D45" s="25">
        <f t="shared" si="22"/>
        <v>1.25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10</v>
      </c>
      <c r="D47" s="21">
        <f t="shared" ref="D47" si="23"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4" zoomScale="115" zoomScaleNormal="115" zoomScalePageLayoutView="115" workbookViewId="0">
      <selection activeCell="P6" sqref="P6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5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1.5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2</v>
      </c>
      <c r="N6" s="33">
        <v>2</v>
      </c>
      <c r="O6" s="33">
        <v>0</v>
      </c>
      <c r="P6" s="59">
        <v>8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2</v>
      </c>
      <c r="F7" s="34">
        <v>7</v>
      </c>
      <c r="G7" s="34">
        <v>0</v>
      </c>
      <c r="H7" s="34">
        <v>0</v>
      </c>
      <c r="I7" s="34">
        <v>1</v>
      </c>
      <c r="J7" s="60">
        <v>3</v>
      </c>
      <c r="K7" s="33">
        <v>0</v>
      </c>
      <c r="L7" s="33">
        <v>3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4</v>
      </c>
      <c r="F8" s="34">
        <v>2</v>
      </c>
      <c r="G8" s="34">
        <v>0</v>
      </c>
      <c r="H8" s="34">
        <v>4</v>
      </c>
      <c r="I8" s="34">
        <v>2</v>
      </c>
      <c r="J8" s="60">
        <v>0</v>
      </c>
      <c r="K8" s="33">
        <v>2</v>
      </c>
      <c r="L8" s="33">
        <v>0</v>
      </c>
      <c r="M8" s="33">
        <v>2</v>
      </c>
      <c r="N8" s="33">
        <v>0</v>
      </c>
      <c r="O8" s="33">
        <v>1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7.5</v>
      </c>
      <c r="F10" s="21">
        <f t="shared" si="1"/>
        <v>9</v>
      </c>
      <c r="G10" s="21">
        <f t="shared" si="1"/>
        <v>0</v>
      </c>
      <c r="H10" s="21">
        <f t="shared" si="1"/>
        <v>4</v>
      </c>
      <c r="I10" s="61">
        <f t="shared" si="1"/>
        <v>3</v>
      </c>
      <c r="J10" s="62">
        <f t="shared" si="1"/>
        <v>3</v>
      </c>
      <c r="K10" s="21">
        <f t="shared" si="1"/>
        <v>2</v>
      </c>
      <c r="L10" s="21">
        <f t="shared" si="1"/>
        <v>3</v>
      </c>
      <c r="M10" s="21">
        <f t="shared" si="1"/>
        <v>4</v>
      </c>
      <c r="N10" s="21">
        <f t="shared" si="1"/>
        <v>2</v>
      </c>
      <c r="O10" s="21">
        <f t="shared" si="1"/>
        <v>1</v>
      </c>
      <c r="P10" s="61">
        <f t="shared" si="1"/>
        <v>8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1.5</v>
      </c>
      <c r="F12" s="22">
        <f t="shared" si="2"/>
        <v>1.5</v>
      </c>
      <c r="G12" s="22">
        <f t="shared" si="2"/>
        <v>1.5</v>
      </c>
      <c r="H12" s="22">
        <f t="shared" si="2"/>
        <v>1.5</v>
      </c>
      <c r="I12" s="63">
        <f t="shared" si="2"/>
        <v>1.5</v>
      </c>
      <c r="J12" s="64">
        <f t="shared" si="2"/>
        <v>1.5</v>
      </c>
      <c r="K12" s="22">
        <f t="shared" si="2"/>
        <v>1.5</v>
      </c>
      <c r="L12" s="22">
        <f t="shared" si="2"/>
        <v>1.5</v>
      </c>
      <c r="M12" s="22">
        <f t="shared" si="2"/>
        <v>3.5</v>
      </c>
      <c r="N12" s="22">
        <f t="shared" si="2"/>
        <v>5.5</v>
      </c>
      <c r="O12" s="22">
        <f t="shared" si="2"/>
        <v>5.5</v>
      </c>
      <c r="P12" s="63">
        <f t="shared" si="2"/>
        <v>13.5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2</v>
      </c>
      <c r="F13" s="22">
        <f t="shared" si="3"/>
        <v>9</v>
      </c>
      <c r="G13" s="22">
        <f t="shared" si="3"/>
        <v>9</v>
      </c>
      <c r="H13" s="22">
        <f t="shared" si="3"/>
        <v>9</v>
      </c>
      <c r="I13" s="63">
        <f t="shared" si="3"/>
        <v>10</v>
      </c>
      <c r="J13" s="64">
        <f t="shared" si="3"/>
        <v>13</v>
      </c>
      <c r="K13" s="22">
        <f t="shared" si="3"/>
        <v>13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16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4</v>
      </c>
      <c r="F14" s="22">
        <f t="shared" si="4"/>
        <v>6</v>
      </c>
      <c r="G14" s="22">
        <f t="shared" si="4"/>
        <v>6</v>
      </c>
      <c r="H14" s="22">
        <f t="shared" si="4"/>
        <v>10</v>
      </c>
      <c r="I14" s="63">
        <f t="shared" si="4"/>
        <v>12</v>
      </c>
      <c r="J14" s="64">
        <f t="shared" si="4"/>
        <v>12</v>
      </c>
      <c r="K14" s="22">
        <f t="shared" si="4"/>
        <v>14</v>
      </c>
      <c r="L14" s="22">
        <f t="shared" si="4"/>
        <v>14</v>
      </c>
      <c r="M14" s="22">
        <f t="shared" si="4"/>
        <v>16</v>
      </c>
      <c r="N14" s="22">
        <f t="shared" si="4"/>
        <v>16</v>
      </c>
      <c r="O14" s="22">
        <f t="shared" si="4"/>
        <v>17</v>
      </c>
      <c r="P14" s="63">
        <f t="shared" si="4"/>
        <v>17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7.5</v>
      </c>
      <c r="F16" s="21">
        <f t="shared" si="6"/>
        <v>16.5</v>
      </c>
      <c r="G16" s="21">
        <f t="shared" si="6"/>
        <v>16.5</v>
      </c>
      <c r="H16" s="21">
        <f t="shared" si="6"/>
        <v>20.5</v>
      </c>
      <c r="I16" s="61">
        <f t="shared" si="6"/>
        <v>23.5</v>
      </c>
      <c r="J16" s="62">
        <f t="shared" si="6"/>
        <v>26.5</v>
      </c>
      <c r="K16" s="21">
        <f t="shared" si="6"/>
        <v>28.5</v>
      </c>
      <c r="L16" s="21">
        <f t="shared" si="6"/>
        <v>31.5</v>
      </c>
      <c r="M16" s="21">
        <f t="shared" si="6"/>
        <v>35.5</v>
      </c>
      <c r="N16" s="21">
        <f t="shared" si="6"/>
        <v>37.5</v>
      </c>
      <c r="O16" s="21">
        <f t="shared" si="6"/>
        <v>38.5</v>
      </c>
      <c r="P16" s="61">
        <f t="shared" si="6"/>
        <v>46.5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0.5</v>
      </c>
      <c r="F30" s="22">
        <f t="shared" si="13"/>
        <v>0.375</v>
      </c>
      <c r="G30" s="22">
        <f t="shared" si="13"/>
        <v>0.3</v>
      </c>
      <c r="H30" s="22">
        <f t="shared" si="13"/>
        <v>0.25</v>
      </c>
      <c r="I30" s="63">
        <f t="shared" si="13"/>
        <v>0.21428571428571427</v>
      </c>
      <c r="J30" s="64">
        <f t="shared" si="13"/>
        <v>0.1875</v>
      </c>
      <c r="K30" s="22">
        <f t="shared" si="13"/>
        <v>0.16666666666666666</v>
      </c>
      <c r="L30" s="22">
        <f t="shared" si="13"/>
        <v>0.15</v>
      </c>
      <c r="M30" s="22">
        <f t="shared" si="13"/>
        <v>0.31818181818181818</v>
      </c>
      <c r="N30" s="22">
        <f t="shared" si="13"/>
        <v>0.45833333333333331</v>
      </c>
      <c r="O30" s="22">
        <f t="shared" si="13"/>
        <v>0.42307692307692307</v>
      </c>
      <c r="P30" s="63">
        <f t="shared" si="13"/>
        <v>0.9642857142857143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0.66666666666666663</v>
      </c>
      <c r="F31" s="22">
        <f t="shared" si="14"/>
        <v>2.25</v>
      </c>
      <c r="G31" s="22">
        <f t="shared" si="14"/>
        <v>1.8</v>
      </c>
      <c r="H31" s="22">
        <f t="shared" si="14"/>
        <v>1.5</v>
      </c>
      <c r="I31" s="63">
        <f t="shared" si="14"/>
        <v>1.4285714285714286</v>
      </c>
      <c r="J31" s="64">
        <f t="shared" si="14"/>
        <v>1.625</v>
      </c>
      <c r="K31" s="22">
        <f t="shared" si="14"/>
        <v>1.4444444444444444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1.1428571428571428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1.3333333333333333</v>
      </c>
      <c r="F32" s="22">
        <f t="shared" si="15"/>
        <v>1.5</v>
      </c>
      <c r="G32" s="22">
        <f t="shared" si="15"/>
        <v>1.2</v>
      </c>
      <c r="H32" s="22">
        <f t="shared" si="15"/>
        <v>1.6666666666666667</v>
      </c>
      <c r="I32" s="63">
        <f t="shared" si="15"/>
        <v>1.7142857142857142</v>
      </c>
      <c r="J32" s="64">
        <f t="shared" si="15"/>
        <v>1.5</v>
      </c>
      <c r="K32" s="22">
        <f t="shared" si="15"/>
        <v>1.5555555555555556</v>
      </c>
      <c r="L32" s="22">
        <f t="shared" si="15"/>
        <v>1.4</v>
      </c>
      <c r="M32" s="22">
        <f t="shared" si="15"/>
        <v>1.4545454545454546</v>
      </c>
      <c r="N32" s="22">
        <f t="shared" si="15"/>
        <v>1.3333333333333333</v>
      </c>
      <c r="O32" s="22">
        <f t="shared" si="15"/>
        <v>1.3076923076923077</v>
      </c>
      <c r="P32" s="63">
        <f t="shared" si="15"/>
        <v>1.2142857142857142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2.5</v>
      </c>
      <c r="F34" s="21">
        <f t="shared" si="17"/>
        <v>4.125</v>
      </c>
      <c r="G34" s="21">
        <f t="shared" si="17"/>
        <v>3.3</v>
      </c>
      <c r="H34" s="21">
        <f t="shared" si="17"/>
        <v>3.416666666666667</v>
      </c>
      <c r="I34" s="61">
        <f t="shared" si="17"/>
        <v>3.3571428571428568</v>
      </c>
      <c r="J34" s="62">
        <f t="shared" si="17"/>
        <v>3.3125</v>
      </c>
      <c r="K34" s="21">
        <f t="shared" si="17"/>
        <v>3.166666666666667</v>
      </c>
      <c r="L34" s="21">
        <f t="shared" si="17"/>
        <v>3.15</v>
      </c>
      <c r="M34" s="21">
        <f t="shared" si="17"/>
        <v>3.2272727272727275</v>
      </c>
      <c r="N34" s="21">
        <f t="shared" si="17"/>
        <v>3.125</v>
      </c>
      <c r="O34" s="21">
        <f t="shared" si="17"/>
        <v>2.9615384615384617</v>
      </c>
      <c r="P34" s="61">
        <f t="shared" si="17"/>
        <v>3.3214285714285712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1.5</v>
      </c>
      <c r="D37" s="25">
        <f xml:space="preserve"> SUM(J6:P6) + SUM(J18:P18)</f>
        <v>12</v>
      </c>
      <c r="E37" s="25">
        <f xml:space="preserve"> SUM(C37:D37)</f>
        <v>13.5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10</v>
      </c>
      <c r="D38" s="25">
        <f t="shared" ref="D38:D40" si="19" xml:space="preserve"> SUM(J7:P7) + SUM(J19:P19)</f>
        <v>6</v>
      </c>
      <c r="E38" s="25">
        <f xml:space="preserve"> SUM(C38:D38)</f>
        <v>16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12</v>
      </c>
      <c r="D39" s="25">
        <f t="shared" si="19"/>
        <v>5</v>
      </c>
      <c r="E39" s="25">
        <f xml:space="preserve"> SUM(C39:D39)</f>
        <v>17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23.5</v>
      </c>
      <c r="D41" s="21">
        <f t="shared" ref="D41" si="20" xml:space="preserve"> SUM(D37:D40)</f>
        <v>23</v>
      </c>
      <c r="E41" s="21">
        <f xml:space="preserve"> SUM(C41:D41)</f>
        <v>46.5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1.5</v>
      </c>
      <c r="D43" s="25">
        <f xml:space="preserve"> SUM(C37:D37) / D$36</f>
        <v>6.75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10</v>
      </c>
      <c r="D44" s="25">
        <f t="shared" ref="D44:D46" si="22" xml:space="preserve"> SUM(C38:D38) / D$36</f>
        <v>8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12</v>
      </c>
      <c r="D45" s="25">
        <f t="shared" si="22"/>
        <v>8.5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23.5</v>
      </c>
      <c r="D47" s="21">
        <f t="shared" ref="D47" si="23" xml:space="preserve"> SUM(D43:D46)</f>
        <v>23.25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A22" zoomScale="115" zoomScaleNormal="115" zoomScalePageLayoutView="115" workbookViewId="0">
      <selection activeCell="F45" sqref="F45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6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5</v>
      </c>
      <c r="K6" s="33">
        <v>3</v>
      </c>
      <c r="L6" s="33">
        <v>5</v>
      </c>
      <c r="M6" s="33">
        <v>0</v>
      </c>
      <c r="N6" s="33">
        <v>7</v>
      </c>
      <c r="O6" s="33">
        <v>0</v>
      </c>
      <c r="P6" s="59">
        <v>0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6</v>
      </c>
      <c r="H7" s="34">
        <v>0</v>
      </c>
      <c r="I7" s="34">
        <v>2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2</v>
      </c>
      <c r="F8" s="34">
        <v>0</v>
      </c>
      <c r="G8" s="34">
        <v>2</v>
      </c>
      <c r="H8" s="34">
        <v>0</v>
      </c>
      <c r="I8" s="34">
        <v>0</v>
      </c>
      <c r="J8" s="60">
        <v>2</v>
      </c>
      <c r="K8" s="33">
        <v>3</v>
      </c>
      <c r="L8" s="33">
        <v>1</v>
      </c>
      <c r="M8" s="33">
        <v>2</v>
      </c>
      <c r="N8" s="33">
        <v>0</v>
      </c>
      <c r="O8" s="33">
        <v>1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8</v>
      </c>
      <c r="H10" s="21">
        <f t="shared" si="1"/>
        <v>0</v>
      </c>
      <c r="I10" s="61">
        <f t="shared" si="1"/>
        <v>2</v>
      </c>
      <c r="J10" s="62">
        <f t="shared" si="1"/>
        <v>7</v>
      </c>
      <c r="K10" s="21">
        <f t="shared" si="1"/>
        <v>6</v>
      </c>
      <c r="L10" s="21">
        <f t="shared" si="1"/>
        <v>6</v>
      </c>
      <c r="M10" s="21">
        <f t="shared" si="1"/>
        <v>2</v>
      </c>
      <c r="N10" s="21">
        <f t="shared" si="1"/>
        <v>7</v>
      </c>
      <c r="O10" s="21">
        <f t="shared" si="1"/>
        <v>1</v>
      </c>
      <c r="P10" s="61">
        <f t="shared" si="1"/>
        <v>0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5</v>
      </c>
      <c r="K12" s="22">
        <f t="shared" si="2"/>
        <v>8</v>
      </c>
      <c r="L12" s="22">
        <f t="shared" si="2"/>
        <v>13</v>
      </c>
      <c r="M12" s="22">
        <f t="shared" si="2"/>
        <v>13</v>
      </c>
      <c r="N12" s="22">
        <f t="shared" si="2"/>
        <v>20</v>
      </c>
      <c r="O12" s="22">
        <f t="shared" si="2"/>
        <v>20</v>
      </c>
      <c r="P12" s="63">
        <f t="shared" si="2"/>
        <v>20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6</v>
      </c>
      <c r="H13" s="22">
        <f t="shared" si="3"/>
        <v>6</v>
      </c>
      <c r="I13" s="63">
        <f t="shared" si="3"/>
        <v>8</v>
      </c>
      <c r="J13" s="64">
        <f t="shared" si="3"/>
        <v>8</v>
      </c>
      <c r="K13" s="22">
        <f t="shared" si="3"/>
        <v>8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4</v>
      </c>
      <c r="H14" s="22">
        <f t="shared" si="4"/>
        <v>4</v>
      </c>
      <c r="I14" s="63">
        <f t="shared" si="4"/>
        <v>4</v>
      </c>
      <c r="J14" s="64">
        <f t="shared" si="4"/>
        <v>6</v>
      </c>
      <c r="K14" s="22">
        <f t="shared" si="4"/>
        <v>9</v>
      </c>
      <c r="L14" s="22">
        <f t="shared" si="4"/>
        <v>10</v>
      </c>
      <c r="M14" s="22">
        <f t="shared" si="4"/>
        <v>12</v>
      </c>
      <c r="N14" s="22">
        <f t="shared" si="4"/>
        <v>12</v>
      </c>
      <c r="O14" s="22">
        <f t="shared" si="4"/>
        <v>13</v>
      </c>
      <c r="P14" s="63">
        <f t="shared" si="4"/>
        <v>13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10</v>
      </c>
      <c r="H16" s="21">
        <f t="shared" si="6"/>
        <v>10</v>
      </c>
      <c r="I16" s="61">
        <f t="shared" si="6"/>
        <v>12</v>
      </c>
      <c r="J16" s="62">
        <f t="shared" si="6"/>
        <v>19</v>
      </c>
      <c r="K16" s="21">
        <f t="shared" si="6"/>
        <v>25</v>
      </c>
      <c r="L16" s="21">
        <f t="shared" si="6"/>
        <v>31</v>
      </c>
      <c r="M16" s="21">
        <f t="shared" si="6"/>
        <v>33</v>
      </c>
      <c r="N16" s="21">
        <f t="shared" si="6"/>
        <v>40</v>
      </c>
      <c r="O16" s="21">
        <f t="shared" si="6"/>
        <v>41</v>
      </c>
      <c r="P16" s="61">
        <f t="shared" si="6"/>
        <v>41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0.625</v>
      </c>
      <c r="K30" s="22">
        <f t="shared" si="13"/>
        <v>0.88888888888888884</v>
      </c>
      <c r="L30" s="22">
        <f t="shared" si="13"/>
        <v>1.3</v>
      </c>
      <c r="M30" s="22">
        <f t="shared" si="13"/>
        <v>1.1818181818181819</v>
      </c>
      <c r="N30" s="22">
        <f t="shared" si="13"/>
        <v>1.6666666666666667</v>
      </c>
      <c r="O30" s="22">
        <f t="shared" si="13"/>
        <v>1.5384615384615385</v>
      </c>
      <c r="P30" s="63">
        <f t="shared" si="13"/>
        <v>1.4285714285714286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1.2</v>
      </c>
      <c r="H31" s="22">
        <f t="shared" si="14"/>
        <v>1</v>
      </c>
      <c r="I31" s="63">
        <f t="shared" si="14"/>
        <v>1.1428571428571428</v>
      </c>
      <c r="J31" s="64">
        <f t="shared" si="14"/>
        <v>1</v>
      </c>
      <c r="K31" s="22">
        <f t="shared" si="14"/>
        <v>0.88888888888888884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0.8</v>
      </c>
      <c r="H32" s="22">
        <f t="shared" si="15"/>
        <v>0.66666666666666663</v>
      </c>
      <c r="I32" s="63">
        <f t="shared" si="15"/>
        <v>0.5714285714285714</v>
      </c>
      <c r="J32" s="64">
        <f t="shared" si="15"/>
        <v>0.75</v>
      </c>
      <c r="K32" s="22">
        <f t="shared" si="15"/>
        <v>1</v>
      </c>
      <c r="L32" s="22">
        <f t="shared" si="15"/>
        <v>1</v>
      </c>
      <c r="M32" s="22">
        <f t="shared" si="15"/>
        <v>1.0909090909090908</v>
      </c>
      <c r="N32" s="22">
        <f t="shared" si="15"/>
        <v>1</v>
      </c>
      <c r="O32" s="22">
        <f t="shared" si="15"/>
        <v>1</v>
      </c>
      <c r="P32" s="63">
        <f t="shared" si="15"/>
        <v>0.9285714285714286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2</v>
      </c>
      <c r="H34" s="21">
        <f t="shared" si="17"/>
        <v>1.6666666666666665</v>
      </c>
      <c r="I34" s="61">
        <f t="shared" si="17"/>
        <v>1.7142857142857142</v>
      </c>
      <c r="J34" s="62">
        <f t="shared" si="17"/>
        <v>2.375</v>
      </c>
      <c r="K34" s="21">
        <f t="shared" si="17"/>
        <v>2.7777777777777777</v>
      </c>
      <c r="L34" s="21">
        <f t="shared" si="17"/>
        <v>3.1</v>
      </c>
      <c r="M34" s="21">
        <f t="shared" si="17"/>
        <v>3</v>
      </c>
      <c r="N34" s="21">
        <f t="shared" si="17"/>
        <v>3.3333333333333335</v>
      </c>
      <c r="O34" s="21">
        <f t="shared" si="17"/>
        <v>3.1538461538461542</v>
      </c>
      <c r="P34" s="61">
        <f t="shared" si="17"/>
        <v>2.9285714285714288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20</v>
      </c>
      <c r="E37" s="25">
        <f xml:space="preserve"> SUM(C37:D37)</f>
        <v>20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8</v>
      </c>
      <c r="D38" s="25">
        <f t="shared" ref="D38:D40" si="19" xml:space="preserve"> SUM(J7:P7) + SUM(J19:P19)</f>
        <v>0</v>
      </c>
      <c r="E38" s="25">
        <f xml:space="preserve"> SUM(C38:D38)</f>
        <v>8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4</v>
      </c>
      <c r="D39" s="25">
        <f t="shared" si="19"/>
        <v>9</v>
      </c>
      <c r="E39" s="25">
        <f xml:space="preserve"> SUM(C39:D39)</f>
        <v>13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12</v>
      </c>
      <c r="D41" s="21">
        <f t="shared" ref="D41" si="20" xml:space="preserve"> SUM(D37:D40)</f>
        <v>29</v>
      </c>
      <c r="E41" s="21">
        <f xml:space="preserve"> SUM(C41:D41)</f>
        <v>41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10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8</v>
      </c>
      <c r="D44" s="25">
        <f t="shared" ref="D44:D46" si="22" xml:space="preserve"> SUM(C38:D38) / D$36</f>
        <v>4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4</v>
      </c>
      <c r="D45" s="25">
        <f t="shared" si="22"/>
        <v>6.5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12</v>
      </c>
      <c r="D47" s="21">
        <f t="shared" ref="D47" si="23" xml:space="preserve"> SUM(D43:D46)</f>
        <v>20.5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7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8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9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0" zoomScale="115" zoomScaleNormal="115" zoomScalePageLayoutView="115" workbookViewId="0">
      <selection activeCell="C5" sqref="C5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str">
        <f>SheetName</f>
        <v>Sprint 10</v>
      </c>
      <c r="C2" s="27" t="s">
        <v>38</v>
      </c>
    </row>
    <row r="3" spans="1:16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" thickBot="1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" thickBot="1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" thickBot="1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" thickBot="1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" thickBot="1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" thickBot="1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" thickBot="1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" thickBot="1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" thickBot="1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" thickBot="1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" thickBot="1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" thickBot="1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" thickBot="1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" thickBot="1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" thickBot="1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" thickBot="1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" thickBot="1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" thickBot="1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" thickBot="1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" thickBot="1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" thickBot="1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" thickBot="1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" thickBot="1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" thickBot="1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" thickBot="1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" thickBot="1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" thickBot="1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C9"/>
  <sheetViews>
    <sheetView workbookViewId="0">
      <selection activeCell="F20" sqref="F20"/>
    </sheetView>
  </sheetViews>
  <sheetFormatPr baseColWidth="10" defaultColWidth="8.83203125" defaultRowHeight="14" x14ac:dyDescent="0"/>
  <cols>
    <col min="1" max="1" width="17.6640625" bestFit="1" customWidth="1"/>
    <col min="2" max="2" width="14.33203125" customWidth="1"/>
  </cols>
  <sheetData>
    <row r="1" spans="1:3" ht="18">
      <c r="B1" s="14" t="s">
        <v>26</v>
      </c>
    </row>
    <row r="3" spans="1:3">
      <c r="A3" s="3" t="s">
        <v>1</v>
      </c>
      <c r="B3" s="40">
        <v>42254</v>
      </c>
    </row>
    <row r="4" spans="1:3">
      <c r="A4" s="3" t="s">
        <v>25</v>
      </c>
      <c r="B4" s="40">
        <v>42380</v>
      </c>
    </row>
    <row r="5" spans="1:3">
      <c r="A5" s="3"/>
    </row>
    <row r="6" spans="1:3" ht="15" thickBot="1">
      <c r="B6" s="2" t="s">
        <v>0</v>
      </c>
      <c r="C6" s="2" t="s">
        <v>28</v>
      </c>
    </row>
    <row r="7" spans="1:3" ht="15" thickBot="1">
      <c r="A7" s="3" t="s">
        <v>2</v>
      </c>
      <c r="B7" s="13" t="s">
        <v>46</v>
      </c>
      <c r="C7" s="16" t="s">
        <v>47</v>
      </c>
    </row>
    <row r="8" spans="1:3" ht="15" thickBot="1">
      <c r="A8" s="3" t="s">
        <v>3</v>
      </c>
      <c r="B8" s="13" t="s">
        <v>48</v>
      </c>
      <c r="C8" s="16" t="s">
        <v>49</v>
      </c>
    </row>
    <row r="9" spans="1:3" ht="15" thickBot="1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2016-02-15T23:02:47Z</dcterms:modified>
</cp:coreProperties>
</file>
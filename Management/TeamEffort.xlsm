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  <Override PartName="/xl/charts/style3.xml" ContentType="application/vnd.ms-office.chartstyle+xml"/>
  <Override PartName="/xl/charts/colors3.xml" ContentType="application/vnd.ms-office.chartcolorstyle+xml"/>
  <Override PartName="/xl/charts/style4.xml" ContentType="application/vnd.ms-office.chartstyle+xml"/>
  <Override PartName="/xl/charts/colors4.xml" ContentType="application/vnd.ms-office.chartcolorstyle+xml"/>
  <Override PartName="/xl/charts/style5.xml" ContentType="application/vnd.ms-office.chartstyle+xml"/>
  <Override PartName="/xl/charts/colors5.xml" ContentType="application/vnd.ms-office.chartcolorstyle+xml"/>
  <Override PartName="/xl/charts/style6.xml" ContentType="application/vnd.ms-office.chartstyle+xml"/>
  <Override PartName="/xl/charts/colors6.xml" ContentType="application/vnd.ms-office.chartcolorstyle+xml"/>
  <Override PartName="/xl/charts/style7.xml" ContentType="application/vnd.ms-office.chartstyle+xml"/>
  <Override PartName="/xl/charts/colors7.xml" ContentType="application/vnd.ms-office.chartcolorstyle+xml"/>
  <Override PartName="/xl/charts/style8.xml" ContentType="application/vnd.ms-office.chartstyle+xml"/>
  <Override PartName="/xl/charts/colors8.xml" ContentType="application/vnd.ms-office.chartcolorstyle+xml"/>
  <Override PartName="/xl/charts/style9.xml" ContentType="application/vnd.ms-office.chartstyle+xml"/>
  <Override PartName="/xl/charts/colors9.xml" ContentType="application/vnd.ms-office.chartcolorstyle+xml"/>
  <Override PartName="/xl/charts/style10.xml" ContentType="application/vnd.ms-office.chartstyle+xml"/>
  <Override PartName="/xl/charts/colors10.xml" ContentType="application/vnd.ms-office.chartcolorstyle+xml"/>
  <Override PartName="/xl/charts/style11.xml" ContentType="application/vnd.ms-office.chartstyle+xml"/>
  <Override PartName="/xl/charts/colors11.xml" ContentType="application/vnd.ms-office.chartcolorstyle+xml"/>
  <Override PartName="/xl/charts/style12.xml" ContentType="application/vnd.ms-office.chartstyle+xml"/>
  <Override PartName="/xl/charts/colors12.xml" ContentType="application/vnd.ms-office.chartcolorstyle+xml"/>
  <Override PartName="/xl/charts/style13.xml" ContentType="application/vnd.ms-office.chartstyle+xml"/>
  <Override PartName="/xl/charts/colors13.xml" ContentType="application/vnd.ms-office.chartcolorstyle+xml"/>
  <Override PartName="/xl/charts/style14.xml" ContentType="application/vnd.ms-office.chartstyle+xml"/>
  <Override PartName="/xl/charts/colors14.xml" ContentType="application/vnd.ms-office.chartcolorstyle+xml"/>
  <Override PartName="/xl/charts/style15.xml" ContentType="application/vnd.ms-office.chartstyle+xml"/>
  <Override PartName="/xl/charts/colors15.xml" ContentType="application/vnd.ms-office.chartcolorstyle+xml"/>
  <Override PartName="/xl/charts/style16.xml" ContentType="application/vnd.ms-office.chartstyle+xml"/>
  <Override PartName="/xl/charts/colors16.xml" ContentType="application/vnd.ms-office.chartcolorstyle+xml"/>
  <Override PartName="/xl/charts/style17.xml" ContentType="application/vnd.ms-office.chartstyle+xml"/>
  <Override PartName="/xl/charts/colors17.xml" ContentType="application/vnd.ms-office.chartcolorstyle+xml"/>
  <Override PartName="/xl/charts/style18.xml" ContentType="application/vnd.ms-office.chartstyle+xml"/>
  <Override PartName="/xl/charts/colors18.xml" ContentType="application/vnd.ms-office.chartcolorstyle+xml"/>
  <Override PartName="/xl/charts/style19.xml" ContentType="application/vnd.ms-office.chartstyle+xml"/>
  <Override PartName="/xl/charts/colors19.xml" ContentType="application/vnd.ms-office.chartcolorstyle+xml"/>
  <Override PartName="/xl/charts/style20.xml" ContentType="application/vnd.ms-office.chartstyle+xml"/>
  <Override PartName="/xl/charts/colors20.xml" ContentType="application/vnd.ms-office.chartcolorstyle+xml"/>
  <Override PartName="/xl/charts/style21.xml" ContentType="application/vnd.ms-office.chartstyle+xml"/>
  <Override PartName="/xl/charts/colors21.xml" ContentType="application/vnd.ms-office.chartcolorstyle+xml"/>
  <Override PartName="/xl/charts/style22.xml" ContentType="application/vnd.ms-office.chartstyle+xml"/>
  <Override PartName="/xl/charts/colors22.xml" ContentType="application/vnd.ms-office.chartcolorstyle+xml"/>
  <Override PartName="/xl/charts/style23.xml" ContentType="application/vnd.ms-office.chartstyle+xml"/>
  <Override PartName="/xl/charts/colors23.xml" ContentType="application/vnd.ms-office.chartcolorstyle+xml"/>
  <Override PartName="/xl/charts/style24.xml" ContentType="application/vnd.ms-office.chartstyle+xml"/>
  <Override PartName="/xl/charts/colors24.xml" ContentType="application/vnd.ms-office.chartcolorstyle+xml"/>
  <Override PartName="/xl/charts/style25.xml" ContentType="application/vnd.ms-office.chartstyle+xml"/>
  <Override PartName="/xl/charts/colors25.xml" ContentType="application/vnd.ms-office.chartcolorstyle+xml"/>
  <Override PartName="/xl/charts/style26.xml" ContentType="application/vnd.ms-office.chartstyle+xml"/>
  <Override PartName="/xl/charts/colors26.xml" ContentType="application/vnd.ms-office.chartcolorstyle+xml"/>
  <Override PartName="/xl/charts/style27.xml" ContentType="application/vnd.ms-office.chartstyle+xml"/>
  <Override PartName="/xl/charts/colors27.xml" ContentType="application/vnd.ms-office.chartcolorstyle+xml"/>
  <Override PartName="/xl/charts/style28.xml" ContentType="application/vnd.ms-office.chartstyle+xml"/>
  <Override PartName="/xl/charts/colors28.xml" ContentType="application/vnd.ms-office.chartcolorstyle+xml"/>
  <Override PartName="/xl/charts/style29.xml" ContentType="application/vnd.ms-office.chartstyle+xml"/>
  <Override PartName="/xl/charts/colors29.xml" ContentType="application/vnd.ms-office.chartcolorstyle+xml"/>
  <Override PartName="/xl/charts/style30.xml" ContentType="application/vnd.ms-office.chartstyle+xml"/>
  <Override PartName="/xl/charts/colors30.xml" ContentType="application/vnd.ms-office.chartcolorstyle+xml"/>
  <Override PartName="/xl/charts/style31.xml" ContentType="application/vnd.ms-office.chartstyle+xml"/>
  <Override PartName="/xl/charts/colors31.xml" ContentType="application/vnd.ms-office.chartcolorstyle+xml"/>
  <Override PartName="/xl/charts/style32.xml" ContentType="application/vnd.ms-office.chartstyle+xml"/>
  <Override PartName="/xl/charts/colors32.xml" ContentType="application/vnd.ms-office.chartcolorstyle+xml"/>
  <Override PartName="/xl/charts/style33.xml" ContentType="application/vnd.ms-office.chartstyle+xml"/>
  <Override PartName="/xl/charts/colors33.xml" ContentType="application/vnd.ms-office.chartcolorstyle+xml"/>
  <Override PartName="/xl/charts/style34.xml" ContentType="application/vnd.ms-office.chartstyle+xml"/>
  <Override PartName="/xl/charts/colors34.xml" ContentType="application/vnd.ms-office.chartcolorstyle+xml"/>
  <Override PartName="/xl/charts/style35.xml" ContentType="application/vnd.ms-office.chartstyle+xml"/>
  <Override PartName="/xl/charts/colors35.xml" ContentType="application/vnd.ms-office.chartcolorstyle+xml"/>
  <Override PartName="/xl/charts/style36.xml" ContentType="application/vnd.ms-office.chartstyle+xml"/>
  <Override PartName="/xl/charts/colors36.xml" ContentType="application/vnd.ms-office.chartcolorstyle+xml"/>
  <Override PartName="/xl/charts/style37.xml" ContentType="application/vnd.ms-office.chartstyle+xml"/>
  <Override PartName="/xl/charts/colors37.xml" ContentType="application/vnd.ms-office.chartcolorstyle+xml"/>
  <Override PartName="/xl/charts/style38.xml" ContentType="application/vnd.ms-office.chartstyle+xml"/>
  <Override PartName="/xl/charts/colors38.xml" ContentType="application/vnd.ms-office.chartcolorstyle+xml"/>
  <Override PartName="/xl/charts/style39.xml" ContentType="application/vnd.ms-office.chartstyle+xml"/>
  <Override PartName="/xl/charts/colors39.xml" ContentType="application/vnd.ms-office.chartcolorstyle+xml"/>
  <Override PartName="/xl/charts/style40.xml" ContentType="application/vnd.ms-office.chartstyle+xml"/>
  <Override PartName="/xl/charts/colors40.xml" ContentType="application/vnd.ms-office.chartcolorstyle+xml"/>
  <Override PartName="/xl/charts/style41.xml" ContentType="application/vnd.ms-office.chartstyle+xml"/>
  <Override PartName="/xl/charts/colors41.xml" ContentType="application/vnd.ms-office.chartcolorstyle+xml"/>
  <Override PartName="/xl/charts/style42.xml" ContentType="application/vnd.ms-office.chartstyle+xml"/>
  <Override PartName="/xl/charts/colors42.xml" ContentType="application/vnd.ms-office.chartcolorstyle+xml"/>
  <Override PartName="/xl/charts/style43.xml" ContentType="application/vnd.ms-office.chartstyle+xml"/>
  <Override PartName="/xl/charts/colors43.xml" ContentType="application/vnd.ms-office.chartcolorstyle+xml"/>
  <Override PartName="/xl/charts/style44.xml" ContentType="application/vnd.ms-office.chartstyle+xml"/>
  <Override PartName="/xl/charts/colors44.xml" ContentType="application/vnd.ms-office.chartcolorstyle+xml"/>
  <Override PartName="/xl/charts/style45.xml" ContentType="application/vnd.ms-office.chartstyle+xml"/>
  <Override PartName="/xl/charts/colors45.xml" ContentType="application/vnd.ms-office.chartcolorstyle+xml"/>
  <Override PartName="/xl/charts/style46.xml" ContentType="application/vnd.ms-office.chartstyle+xml"/>
  <Override PartName="/xl/charts/colors46.xml" ContentType="application/vnd.ms-office.chartcolorstyle+xml"/>
  <Override PartName="/xl/charts/style47.xml" ContentType="application/vnd.ms-office.chartstyle+xml"/>
  <Override PartName="/xl/charts/colors47.xml" ContentType="application/vnd.ms-office.chartcolorstyle+xml"/>
  <Override PartName="/xl/charts/style48.xml" ContentType="application/vnd.ms-office.chartstyle+xml"/>
  <Override PartName="/xl/charts/colors48.xml" ContentType="application/vnd.ms-office.chartcolorstyle+xml"/>
  <Override PartName="/xl/charts/style49.xml" ContentType="application/vnd.ms-office.chartstyle+xml"/>
  <Override PartName="/xl/charts/colors49.xml" ContentType="application/vnd.ms-office.chartcolorstyle+xml"/>
  <Override PartName="/xl/charts/style50.xml" ContentType="application/vnd.ms-office.chartstyle+xml"/>
  <Override PartName="/xl/charts/colors50.xml" ContentType="application/vnd.ms-office.chartcolorstyle+xml"/>
  <Override PartName="/xl/charts/style51.xml" ContentType="application/vnd.ms-office.chartstyle+xml"/>
  <Override PartName="/xl/charts/colors51.xml" ContentType="application/vnd.ms-office.chartcolorstyle+xml"/>
  <Override PartName="/xl/charts/style52.xml" ContentType="application/vnd.ms-office.chartstyle+xml"/>
  <Override PartName="/xl/charts/colors52.xml" ContentType="application/vnd.ms-office.chartcolorstyle+xml"/>
  <Override PartName="/xl/charts/style53.xml" ContentType="application/vnd.ms-office.chartstyle+xml"/>
  <Override PartName="/xl/charts/colors53.xml" ContentType="application/vnd.ms-office.chartcolorstyle+xml"/>
  <Override PartName="/xl/charts/style54.xml" ContentType="application/vnd.ms-office.chartstyle+xml"/>
  <Override PartName="/xl/charts/colors54.xml" ContentType="application/vnd.ms-office.chartcolorstyle+xml"/>
  <Override PartName="/xl/charts/style55.xml" ContentType="application/vnd.ms-office.chartstyle+xml"/>
  <Override PartName="/xl/charts/colors55.xml" ContentType="application/vnd.ms-office.chartcolorstyle+xml"/>
  <Override PartName="/xl/charts/style56.xml" ContentType="application/vnd.ms-office.chartstyle+xml"/>
  <Override PartName="/xl/charts/colors56.xml" ContentType="application/vnd.ms-office.chartcolorstyle+xml"/>
  <Override PartName="/xl/charts/style57.xml" ContentType="application/vnd.ms-office.chartstyle+xml"/>
  <Override PartName="/xl/charts/colors57.xml" ContentType="application/vnd.ms-office.chartcolorstyle+xml"/>
  <Override PartName="/xl/charts/style58.xml" ContentType="application/vnd.ms-office.chartstyle+xml"/>
  <Override PartName="/xl/charts/colors58.xml" ContentType="application/vnd.ms-office.chartcolorstyle+xml"/>
  <Override PartName="/xl/charts/style59.xml" ContentType="application/vnd.ms-office.chartstyle+xml"/>
  <Override PartName="/xl/charts/colors59.xml" ContentType="application/vnd.ms-office.chartcolorstyle+xml"/>
  <Override PartName="/xl/charts/style60.xml" ContentType="application/vnd.ms-office.chartstyle+xml"/>
  <Override PartName="/xl/charts/colors60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2416"/>
  <workbookPr filterPrivacy="1" codeName="ThisWorkbook" autoCompressPictures="0"/>
  <bookViews>
    <workbookView minimized="1" xWindow="-24760" yWindow="-21620" windowWidth="38400" windowHeight="21140" tabRatio="695" activeTab="1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43" l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D20" i="1"/>
  <c r="E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C4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B2" i="42"/>
  <c r="B2" i="43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D19" i="1"/>
  <c r="E19" i="1"/>
  <c r="F19" i="1"/>
  <c r="G19" i="1"/>
  <c r="H19" i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/>
  <c r="E22" i="1"/>
  <c r="D21" i="1"/>
  <c r="E21" i="1"/>
  <c r="V17" i="1"/>
  <c r="R17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F10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F9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G11" i="1"/>
  <c r="F8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<sst xmlns="http://schemas.openxmlformats.org/spreadsheetml/2006/main" count="294" uniqueCount="52">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</sst>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Relationship Id="rId2" Type="http://schemas.microsoft.com/office/2011/relationships/chartStyle" Target="style2.xml"/><Relationship Id="rId3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Relationship Id="rId2" Type="http://schemas.microsoft.com/office/2011/relationships/chartStyle" Target="style3.xml"/><Relationship Id="rId3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Relationship Id="rId2" Type="http://schemas.microsoft.com/office/2011/relationships/chartStyle" Target="style4.xml"/><Relationship Id="rId3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Relationship Id="rId2" Type="http://schemas.microsoft.com/office/2011/relationships/chartStyle" Target="style5.xml"/><Relationship Id="rId3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Relationship Id="rId2" Type="http://schemas.microsoft.com/office/2011/relationships/chartStyle" Target="style6.xml"/><Relationship Id="rId3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Relationship Id="rId2" Type="http://schemas.microsoft.com/office/2011/relationships/chartStyle" Target="style7.xml"/><Relationship Id="rId3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Relationship Id="rId2" Type="http://schemas.microsoft.com/office/2011/relationships/chartStyle" Target="style8.xml"/><Relationship Id="rId3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Relationship Id="rId2" Type="http://schemas.microsoft.com/office/2011/relationships/chartStyle" Target="style9.xml"/><Relationship Id="rId3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Relationship Id="rId2" Type="http://schemas.microsoft.com/office/2011/relationships/chartStyle" Target="style10.xml"/><Relationship Id="rId3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Relationship Id="rId2" Type="http://schemas.microsoft.com/office/2011/relationships/chartStyle" Target="style11.xml"/><Relationship Id="rId3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Relationship Id="rId2" Type="http://schemas.microsoft.com/office/2011/relationships/chartStyle" Target="style12.xml"/><Relationship Id="rId3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Relationship Id="rId2" Type="http://schemas.microsoft.com/office/2011/relationships/chartStyle" Target="style13.xml"/><Relationship Id="rId3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Relationship Id="rId2" Type="http://schemas.microsoft.com/office/2011/relationships/chartStyle" Target="style14.xml"/><Relationship Id="rId3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Relationship Id="rId2" Type="http://schemas.microsoft.com/office/2011/relationships/chartStyle" Target="style15.xml"/><Relationship Id="rId3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Relationship Id="rId2" Type="http://schemas.microsoft.com/office/2011/relationships/chartStyle" Target="style16.xml"/><Relationship Id="rId3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Relationship Id="rId2" Type="http://schemas.microsoft.com/office/2011/relationships/chartStyle" Target="style17.xml"/><Relationship Id="rId3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Relationship Id="rId2" Type="http://schemas.microsoft.com/office/2011/relationships/chartStyle" Target="style18.xml"/><Relationship Id="rId3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Relationship Id="rId2" Type="http://schemas.microsoft.com/office/2011/relationships/chartStyle" Target="style19.xml"/><Relationship Id="rId3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Relationship Id="rId2" Type="http://schemas.microsoft.com/office/2011/relationships/chartStyle" Target="style20.xml"/><Relationship Id="rId3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Relationship Id="rId2" Type="http://schemas.microsoft.com/office/2011/relationships/chartStyle" Target="style21.xml"/><Relationship Id="rId3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Relationship Id="rId2" Type="http://schemas.microsoft.com/office/2011/relationships/chartStyle" Target="style22.xml"/><Relationship Id="rId3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Relationship Id="rId2" Type="http://schemas.microsoft.com/office/2011/relationships/chartStyle" Target="style23.xml"/><Relationship Id="rId3" Type="http://schemas.microsoft.com/office/2011/relationships/chartColorStyle" Target="colors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Relationship Id="rId2" Type="http://schemas.microsoft.com/office/2011/relationships/chartStyle" Target="style24.xml"/><Relationship Id="rId3" Type="http://schemas.microsoft.com/office/2011/relationships/chartColorStyle" Target="colors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Relationship Id="rId2" Type="http://schemas.microsoft.com/office/2011/relationships/chartStyle" Target="style25.xml"/><Relationship Id="rId3" Type="http://schemas.microsoft.com/office/2011/relationships/chartColorStyle" Target="colors25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Relationship Id="rId2" Type="http://schemas.microsoft.com/office/2011/relationships/chartStyle" Target="style26.xml"/><Relationship Id="rId3" Type="http://schemas.microsoft.com/office/2011/relationships/chartColorStyle" Target="colors2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Relationship Id="rId2" Type="http://schemas.microsoft.com/office/2011/relationships/chartStyle" Target="style27.xml"/><Relationship Id="rId3" Type="http://schemas.microsoft.com/office/2011/relationships/chartColorStyle" Target="colors2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Relationship Id="rId2" Type="http://schemas.microsoft.com/office/2011/relationships/chartStyle" Target="style28.xml"/><Relationship Id="rId3" Type="http://schemas.microsoft.com/office/2011/relationships/chartColorStyle" Target="colors2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Relationship Id="rId2" Type="http://schemas.microsoft.com/office/2011/relationships/chartStyle" Target="style29.xml"/><Relationship Id="rId3" Type="http://schemas.microsoft.com/office/2011/relationships/chartColorStyle" Target="colors2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Relationship Id="rId2" Type="http://schemas.microsoft.com/office/2011/relationships/chartStyle" Target="style30.xml"/><Relationship Id="rId3" Type="http://schemas.microsoft.com/office/2011/relationships/chartColorStyle" Target="colors3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Relationship Id="rId2" Type="http://schemas.microsoft.com/office/2011/relationships/chartStyle" Target="style31.xml"/><Relationship Id="rId3" Type="http://schemas.microsoft.com/office/2011/relationships/chartColorStyle" Target="colors3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Relationship Id="rId2" Type="http://schemas.microsoft.com/office/2011/relationships/chartStyle" Target="style32.xml"/><Relationship Id="rId3" Type="http://schemas.microsoft.com/office/2011/relationships/chartColorStyle" Target="colors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Relationship Id="rId2" Type="http://schemas.microsoft.com/office/2011/relationships/chartStyle" Target="style33.xml"/><Relationship Id="rId3" Type="http://schemas.microsoft.com/office/2011/relationships/chartColorStyle" Target="colors33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Relationship Id="rId2" Type="http://schemas.microsoft.com/office/2011/relationships/chartStyle" Target="style34.xml"/><Relationship Id="rId3" Type="http://schemas.microsoft.com/office/2011/relationships/chartColorStyle" Target="colors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Relationship Id="rId2" Type="http://schemas.microsoft.com/office/2011/relationships/chartStyle" Target="style35.xml"/><Relationship Id="rId3" Type="http://schemas.microsoft.com/office/2011/relationships/chartColorStyle" Target="colors35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Relationship Id="rId2" Type="http://schemas.microsoft.com/office/2011/relationships/chartStyle" Target="style36.xml"/><Relationship Id="rId3" Type="http://schemas.microsoft.com/office/2011/relationships/chartColorStyle" Target="colors3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Relationship Id="rId2" Type="http://schemas.microsoft.com/office/2011/relationships/chartStyle" Target="style37.xml"/><Relationship Id="rId3" Type="http://schemas.microsoft.com/office/2011/relationships/chartColorStyle" Target="colors3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Relationship Id="rId2" Type="http://schemas.microsoft.com/office/2011/relationships/chartStyle" Target="style38.xml"/><Relationship Id="rId3" Type="http://schemas.microsoft.com/office/2011/relationships/chartColorStyle" Target="colors3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Relationship Id="rId2" Type="http://schemas.microsoft.com/office/2011/relationships/chartStyle" Target="style39.xml"/><Relationship Id="rId3" Type="http://schemas.microsoft.com/office/2011/relationships/chartColorStyle" Target="colors3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Relationship Id="rId2" Type="http://schemas.microsoft.com/office/2011/relationships/chartStyle" Target="style40.xml"/><Relationship Id="rId3" Type="http://schemas.microsoft.com/office/2011/relationships/chartColorStyle" Target="colors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Relationship Id="rId2" Type="http://schemas.microsoft.com/office/2011/relationships/chartStyle" Target="style41.xml"/><Relationship Id="rId3" Type="http://schemas.microsoft.com/office/2011/relationships/chartColorStyle" Target="colors41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Relationship Id="rId2" Type="http://schemas.microsoft.com/office/2011/relationships/chartStyle" Target="style42.xml"/><Relationship Id="rId3" Type="http://schemas.microsoft.com/office/2011/relationships/chartColorStyle" Target="colors4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Relationship Id="rId2" Type="http://schemas.microsoft.com/office/2011/relationships/chartStyle" Target="style43.xml"/><Relationship Id="rId3" Type="http://schemas.microsoft.com/office/2011/relationships/chartColorStyle" Target="colors43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Relationship Id="rId2" Type="http://schemas.microsoft.com/office/2011/relationships/chartStyle" Target="style44.xml"/><Relationship Id="rId3" Type="http://schemas.microsoft.com/office/2011/relationships/chartColorStyle" Target="colors4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Relationship Id="rId2" Type="http://schemas.microsoft.com/office/2011/relationships/chartStyle" Target="style45.xml"/><Relationship Id="rId3" Type="http://schemas.microsoft.com/office/2011/relationships/chartColorStyle" Target="colors45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Relationship Id="rId2" Type="http://schemas.microsoft.com/office/2011/relationships/chartStyle" Target="style46.xml"/><Relationship Id="rId3" Type="http://schemas.microsoft.com/office/2011/relationships/chartColorStyle" Target="colors46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Relationship Id="rId2" Type="http://schemas.microsoft.com/office/2011/relationships/chartStyle" Target="style47.xml"/><Relationship Id="rId3" Type="http://schemas.microsoft.com/office/2011/relationships/chartColorStyle" Target="colors47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Relationship Id="rId2" Type="http://schemas.microsoft.com/office/2011/relationships/chartStyle" Target="style48.xml"/><Relationship Id="rId3" Type="http://schemas.microsoft.com/office/2011/relationships/chartColorStyle" Target="colors4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Relationship Id="rId2" Type="http://schemas.microsoft.com/office/2011/relationships/chartStyle" Target="style49.xml"/><Relationship Id="rId3" Type="http://schemas.microsoft.com/office/2011/relationships/chartColorStyle" Target="colors49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Relationship Id="rId2" Type="http://schemas.microsoft.com/office/2011/relationships/chartStyle" Target="style50.xml"/><Relationship Id="rId3" Type="http://schemas.microsoft.com/office/2011/relationships/chartColorStyle" Target="colors50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Relationship Id="rId2" Type="http://schemas.microsoft.com/office/2011/relationships/chartStyle" Target="style51.xml"/><Relationship Id="rId3" Type="http://schemas.microsoft.com/office/2011/relationships/chartColorStyle" Target="colors51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Relationship Id="rId2" Type="http://schemas.microsoft.com/office/2011/relationships/chartStyle" Target="style52.xml"/><Relationship Id="rId3" Type="http://schemas.microsoft.com/office/2011/relationships/chartColorStyle" Target="colors52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Relationship Id="rId2" Type="http://schemas.microsoft.com/office/2011/relationships/chartStyle" Target="style53.xml"/><Relationship Id="rId3" Type="http://schemas.microsoft.com/office/2011/relationships/chartColorStyle" Target="colors53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Relationship Id="rId2" Type="http://schemas.microsoft.com/office/2011/relationships/chartStyle" Target="style54.xml"/><Relationship Id="rId3" Type="http://schemas.microsoft.com/office/2011/relationships/chartColorStyle" Target="colors54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Relationship Id="rId2" Type="http://schemas.microsoft.com/office/2011/relationships/chartStyle" Target="style55.xml"/><Relationship Id="rId3" Type="http://schemas.microsoft.com/office/2011/relationships/chartColorStyle" Target="colors5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Relationship Id="rId2" Type="http://schemas.microsoft.com/office/2011/relationships/chartStyle" Target="style56.xml"/><Relationship Id="rId3" Type="http://schemas.microsoft.com/office/2011/relationships/chartColorStyle" Target="colors56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Relationship Id="rId2" Type="http://schemas.microsoft.com/office/2011/relationships/chartStyle" Target="style57.xml"/><Relationship Id="rId3" Type="http://schemas.microsoft.com/office/2011/relationships/chartColorStyle" Target="colors5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Relationship Id="rId2" Type="http://schemas.microsoft.com/office/2011/relationships/chartStyle" Target="style58.xml"/><Relationship Id="rId3" Type="http://schemas.microsoft.com/office/2011/relationships/chartColorStyle" Target="colors5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Relationship Id="rId2" Type="http://schemas.microsoft.com/office/2011/relationships/chartStyle" Target="style59.xml"/><Relationship Id="rId3" Type="http://schemas.microsoft.com/office/2011/relationships/chartColorStyle" Target="colors59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Relationship Id="rId2" Type="http://schemas.microsoft.com/office/2011/relationships/chartStyle" Target="style60.xml"/><Relationship Id="rId3" Type="http://schemas.microsoft.com/office/2011/relationships/chartColorStyle" Target="colors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9.75</c:v>
                </c:pt>
                <c:pt idx="2">
                  <c:v>8.9</c:v>
                </c:pt>
                <c:pt idx="3">
                  <c:v>6.25</c:v>
                </c:pt>
                <c:pt idx="4">
                  <c:v>2.0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1.0</c:v>
                </c:pt>
                <c:pt idx="1">
                  <c:v>2.25</c:v>
                </c:pt>
                <c:pt idx="2">
                  <c:v>5.5</c:v>
                </c:pt>
                <c:pt idx="3">
                  <c:v>4.0</c:v>
                </c:pt>
                <c:pt idx="4">
                  <c:v>2.5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6789112"/>
        <c:axId val="20867815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3.91</c:v>
                </c:pt>
                <c:pt idx="1">
                  <c:v>7.955</c:v>
                </c:pt>
                <c:pt idx="2">
                  <c:v>10.10333333333333</c:v>
                </c:pt>
                <c:pt idx="3">
                  <c:v>10.14</c:v>
                </c:pt>
                <c:pt idx="4">
                  <c:v>9.012</c:v>
                </c:pt>
                <c:pt idx="5">
                  <c:v>7.510000000000001</c:v>
                </c:pt>
                <c:pt idx="6">
                  <c:v>6.437142857142858</c:v>
                </c:pt>
                <c:pt idx="7">
                  <c:v>5.6325</c:v>
                </c:pt>
                <c:pt idx="8">
                  <c:v>5.006666666666666</c:v>
                </c:pt>
                <c:pt idx="9">
                  <c:v>4.506</c:v>
                </c:pt>
                <c:pt idx="10">
                  <c:v>4.096363636363636</c:v>
                </c:pt>
                <c:pt idx="11">
                  <c:v>3.755</c:v>
                </c:pt>
                <c:pt idx="12">
                  <c:v>3.466153846153846</c:v>
                </c:pt>
                <c:pt idx="13">
                  <c:v>3.218571428571429</c:v>
                </c:pt>
                <c:pt idx="14">
                  <c:v>3.004</c:v>
                </c:pt>
                <c:pt idx="15">
                  <c:v>2.81625</c:v>
                </c:pt>
                <c:pt idx="16">
                  <c:v>2.650588235294118</c:v>
                </c:pt>
                <c:pt idx="17">
                  <c:v>2.503333333333333</c:v>
                </c:pt>
                <c:pt idx="18">
                  <c:v>2.371578947368421</c:v>
                </c:pt>
                <c:pt idx="19">
                  <c:v>2.253</c:v>
                </c:pt>
                <c:pt idx="20">
                  <c:v>2.145714285714286</c:v>
                </c:pt>
                <c:pt idx="21">
                  <c:v>2.048181818181818</c:v>
                </c:pt>
                <c:pt idx="22">
                  <c:v>1.959130434782609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789112"/>
        <c:axId val="2086781512"/>
      </c:lineChart>
      <c:catAx>
        <c:axId val="2086789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781512"/>
        <c:crosses val="autoZero"/>
        <c:auto val="0"/>
        <c:lblAlgn val="ctr"/>
        <c:lblOffset val="100"/>
        <c:noMultiLvlLbl val="0"/>
      </c:catAx>
      <c:valAx>
        <c:axId val="208678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78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827816"/>
        <c:axId val="21258212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0.0</c:v>
                </c:pt>
                <c:pt idx="1">
                  <c:v>4.25</c:v>
                </c:pt>
                <c:pt idx="2">
                  <c:v>4.466666666666666</c:v>
                </c:pt>
                <c:pt idx="3">
                  <c:v>4.7875</c:v>
                </c:pt>
                <c:pt idx="4">
                  <c:v>4.13</c:v>
                </c:pt>
                <c:pt idx="5">
                  <c:v>3.441666666666666</c:v>
                </c:pt>
                <c:pt idx="6">
                  <c:v>2.95</c:v>
                </c:pt>
                <c:pt idx="7">
                  <c:v>2.58125</c:v>
                </c:pt>
                <c:pt idx="8">
                  <c:v>2.294444444444444</c:v>
                </c:pt>
                <c:pt idx="9">
                  <c:v>2.065</c:v>
                </c:pt>
                <c:pt idx="10">
                  <c:v>1.877272727272727</c:v>
                </c:pt>
                <c:pt idx="11">
                  <c:v>1.720833333333333</c:v>
                </c:pt>
                <c:pt idx="12">
                  <c:v>1.588461538461538</c:v>
                </c:pt>
                <c:pt idx="13">
                  <c:v>1.475</c:v>
                </c:pt>
                <c:pt idx="14">
                  <c:v>1.376666666666666</c:v>
                </c:pt>
                <c:pt idx="15">
                  <c:v>1.290625</c:v>
                </c:pt>
                <c:pt idx="16">
                  <c:v>1.214705882352941</c:v>
                </c:pt>
                <c:pt idx="17">
                  <c:v>1.147222222222222</c:v>
                </c:pt>
                <c:pt idx="18">
                  <c:v>1.086842105263158</c:v>
                </c:pt>
                <c:pt idx="19">
                  <c:v>1.0325</c:v>
                </c:pt>
                <c:pt idx="20">
                  <c:v>0.983333333333333</c:v>
                </c:pt>
                <c:pt idx="21">
                  <c:v>0.938636363636364</c:v>
                </c:pt>
                <c:pt idx="22">
                  <c:v>0.897826086956522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827816"/>
        <c:axId val="2125821240"/>
      </c:lineChart>
      <c:catAx>
        <c:axId val="2125827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821240"/>
        <c:crosses val="autoZero"/>
        <c:auto val="0"/>
        <c:lblAlgn val="ctr"/>
        <c:lblOffset val="100"/>
        <c:noMultiLvlLbl val="0"/>
      </c:catAx>
      <c:valAx>
        <c:axId val="2125821240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82781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</c:v>
                </c:pt>
                <c:pt idx="3">
                  <c:v>5.75</c:v>
                </c:pt>
                <c:pt idx="4">
                  <c:v>1.5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0.0</c:v>
                </c:pt>
                <c:pt idx="1">
                  <c:v>0.5</c:v>
                </c:pt>
                <c:pt idx="2">
                  <c:v>0.5</c:v>
                </c:pt>
                <c:pt idx="3">
                  <c:v>0.0</c:v>
                </c:pt>
                <c:pt idx="4">
                  <c:v>1.5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200568"/>
        <c:axId val="212420709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2.205</c:v>
                </c:pt>
                <c:pt idx="2">
                  <c:v>2.97</c:v>
                </c:pt>
                <c:pt idx="3">
                  <c:v>2.3525</c:v>
                </c:pt>
                <c:pt idx="4">
                  <c:v>2.282</c:v>
                </c:pt>
                <c:pt idx="5">
                  <c:v>1.901666666666667</c:v>
                </c:pt>
                <c:pt idx="6">
                  <c:v>1.63</c:v>
                </c:pt>
                <c:pt idx="7">
                  <c:v>1.42625</c:v>
                </c:pt>
                <c:pt idx="8">
                  <c:v>1.267777777777778</c:v>
                </c:pt>
                <c:pt idx="9">
                  <c:v>1.141</c:v>
                </c:pt>
                <c:pt idx="10">
                  <c:v>1.037272727272727</c:v>
                </c:pt>
                <c:pt idx="11">
                  <c:v>0.950833333333333</c:v>
                </c:pt>
                <c:pt idx="12">
                  <c:v>0.877692307692308</c:v>
                </c:pt>
                <c:pt idx="13">
                  <c:v>0.815</c:v>
                </c:pt>
                <c:pt idx="14">
                  <c:v>0.760666666666667</c:v>
                </c:pt>
                <c:pt idx="15">
                  <c:v>0.713125</c:v>
                </c:pt>
                <c:pt idx="16">
                  <c:v>0.671176470588235</c:v>
                </c:pt>
                <c:pt idx="17">
                  <c:v>0.633888888888889</c:v>
                </c:pt>
                <c:pt idx="18">
                  <c:v>0.600526315789474</c:v>
                </c:pt>
                <c:pt idx="19">
                  <c:v>0.5705</c:v>
                </c:pt>
                <c:pt idx="20">
                  <c:v>0.543333333333333</c:v>
                </c:pt>
                <c:pt idx="21">
                  <c:v>0.518636363636364</c:v>
                </c:pt>
                <c:pt idx="22">
                  <c:v>0.496086956521739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200568"/>
        <c:axId val="2124207096"/>
      </c:lineChart>
      <c:catAx>
        <c:axId val="2124200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207096"/>
        <c:crosses val="autoZero"/>
        <c:auto val="0"/>
        <c:lblAlgn val="ctr"/>
        <c:lblOffset val="100"/>
        <c:noMultiLvlLbl val="0"/>
      </c:catAx>
      <c:valAx>
        <c:axId val="2124207096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20056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4.0</c:v>
                </c:pt>
                <c:pt idx="3">
                  <c:v>0.5</c:v>
                </c:pt>
                <c:pt idx="4">
                  <c:v>0.5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1.0</c:v>
                </c:pt>
                <c:pt idx="1">
                  <c:v>1.75</c:v>
                </c:pt>
                <c:pt idx="2">
                  <c:v>5.0</c:v>
                </c:pt>
                <c:pt idx="3">
                  <c:v>0.0</c:v>
                </c:pt>
                <c:pt idx="4">
                  <c:v>1.0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264264"/>
        <c:axId val="212427079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1.5</c:v>
                </c:pt>
                <c:pt idx="2">
                  <c:v>2.666666666666666</c:v>
                </c:pt>
                <c:pt idx="3">
                  <c:v>2.0</c:v>
                </c:pt>
                <c:pt idx="4">
                  <c:v>1.8</c:v>
                </c:pt>
                <c:pt idx="5">
                  <c:v>1.5</c:v>
                </c:pt>
                <c:pt idx="6">
                  <c:v>1.285714285714286</c:v>
                </c:pt>
                <c:pt idx="7">
                  <c:v>1.125</c:v>
                </c:pt>
                <c:pt idx="8">
                  <c:v>1.0</c:v>
                </c:pt>
                <c:pt idx="9">
                  <c:v>0.9</c:v>
                </c:pt>
                <c:pt idx="10">
                  <c:v>0.818181818181818</c:v>
                </c:pt>
                <c:pt idx="11">
                  <c:v>0.75</c:v>
                </c:pt>
                <c:pt idx="12">
                  <c:v>0.692307692307692</c:v>
                </c:pt>
                <c:pt idx="13">
                  <c:v>0.642857142857143</c:v>
                </c:pt>
                <c:pt idx="14">
                  <c:v>0.6</c:v>
                </c:pt>
                <c:pt idx="15">
                  <c:v>0.5625</c:v>
                </c:pt>
                <c:pt idx="16">
                  <c:v>0.529411764705882</c:v>
                </c:pt>
                <c:pt idx="17">
                  <c:v>0.5</c:v>
                </c:pt>
                <c:pt idx="18">
                  <c:v>0.473684210526316</c:v>
                </c:pt>
                <c:pt idx="19">
                  <c:v>0.45</c:v>
                </c:pt>
                <c:pt idx="20">
                  <c:v>0.428571428571429</c:v>
                </c:pt>
                <c:pt idx="21">
                  <c:v>0.409090909090909</c:v>
                </c:pt>
                <c:pt idx="22">
                  <c:v>0.391304347826087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264264"/>
        <c:axId val="2124270792"/>
      </c:lineChart>
      <c:catAx>
        <c:axId val="2124264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270792"/>
        <c:crosses val="autoZero"/>
        <c:auto val="0"/>
        <c:lblAlgn val="ctr"/>
        <c:lblOffset val="100"/>
        <c:noMultiLvlLbl val="0"/>
      </c:catAx>
      <c:valAx>
        <c:axId val="2124270792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26426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320248"/>
        <c:axId val="212432677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0.0</c:v>
                </c:pt>
                <c:pt idx="1">
                  <c:v>4.875</c:v>
                </c:pt>
                <c:pt idx="2">
                  <c:v>6.216666666666665</c:v>
                </c:pt>
                <c:pt idx="3">
                  <c:v>7.225</c:v>
                </c:pt>
                <c:pt idx="4">
                  <c:v>6.18</c:v>
                </c:pt>
                <c:pt idx="5">
                  <c:v>5.149999999999999</c:v>
                </c:pt>
                <c:pt idx="6">
                  <c:v>4.414285714285714</c:v>
                </c:pt>
                <c:pt idx="7">
                  <c:v>3.8625</c:v>
                </c:pt>
                <c:pt idx="8">
                  <c:v>3.433333333333333</c:v>
                </c:pt>
                <c:pt idx="9">
                  <c:v>3.09</c:v>
                </c:pt>
                <c:pt idx="10">
                  <c:v>2.809090909090909</c:v>
                </c:pt>
                <c:pt idx="11">
                  <c:v>2.575</c:v>
                </c:pt>
                <c:pt idx="12">
                  <c:v>2.376923076923077</c:v>
                </c:pt>
                <c:pt idx="13">
                  <c:v>2.207142857142856</c:v>
                </c:pt>
                <c:pt idx="14">
                  <c:v>2.06</c:v>
                </c:pt>
                <c:pt idx="15">
                  <c:v>1.93125</c:v>
                </c:pt>
                <c:pt idx="16">
                  <c:v>1.817647058823529</c:v>
                </c:pt>
                <c:pt idx="17">
                  <c:v>1.716666666666666</c:v>
                </c:pt>
                <c:pt idx="18">
                  <c:v>1.626315789473684</c:v>
                </c:pt>
                <c:pt idx="19">
                  <c:v>1.545</c:v>
                </c:pt>
                <c:pt idx="20">
                  <c:v>1.471428571428571</c:v>
                </c:pt>
                <c:pt idx="21">
                  <c:v>1.404545454545455</c:v>
                </c:pt>
                <c:pt idx="22">
                  <c:v>1.343478260869565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320248"/>
        <c:axId val="2124326776"/>
      </c:lineChart>
      <c:catAx>
        <c:axId val="2124320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326776"/>
        <c:crosses val="autoZero"/>
        <c:auto val="0"/>
        <c:lblAlgn val="ctr"/>
        <c:lblOffset val="100"/>
        <c:noMultiLvlLbl val="0"/>
      </c:catAx>
      <c:valAx>
        <c:axId val="2124326776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3202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0.0</c:v>
                </c:pt>
                <c:pt idx="1">
                  <c:v>0.58</c:v>
                </c:pt>
                <c:pt idx="2">
                  <c:v>1.0</c:v>
                </c:pt>
                <c:pt idx="3">
                  <c:v>1.33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2.5</c:v>
                </c:pt>
                <c:pt idx="9">
                  <c:v>3.0</c:v>
                </c:pt>
                <c:pt idx="10">
                  <c:v>1.75</c:v>
                </c:pt>
                <c:pt idx="11">
                  <c:v>0.0</c:v>
                </c:pt>
                <c:pt idx="12">
                  <c:v>0.0</c:v>
                </c:pt>
                <c:pt idx="13">
                  <c:v>2.5</c:v>
                </c:pt>
                <c:pt idx="14">
                  <c:v>2.9</c:v>
                </c:pt>
                <c:pt idx="15">
                  <c:v>2.5</c:v>
                </c:pt>
                <c:pt idx="16">
                  <c:v>1.0</c:v>
                </c:pt>
                <c:pt idx="17">
                  <c:v>2.0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1.0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3.0</c:v>
                </c:pt>
                <c:pt idx="15">
                  <c:v>0.5</c:v>
                </c:pt>
                <c:pt idx="16">
                  <c:v>1.0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662408"/>
        <c:axId val="212465588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0.0</c:v>
                </c:pt>
                <c:pt idx="1">
                  <c:v>0.29</c:v>
                </c:pt>
                <c:pt idx="2">
                  <c:v>0.526666666666667</c:v>
                </c:pt>
                <c:pt idx="3">
                  <c:v>0.9775</c:v>
                </c:pt>
                <c:pt idx="4">
                  <c:v>0.782</c:v>
                </c:pt>
                <c:pt idx="5">
                  <c:v>0.651666666666667</c:v>
                </c:pt>
                <c:pt idx="6">
                  <c:v>0.558571428571429</c:v>
                </c:pt>
                <c:pt idx="7">
                  <c:v>0.48875</c:v>
                </c:pt>
                <c:pt idx="8">
                  <c:v>0.823333333333333</c:v>
                </c:pt>
                <c:pt idx="9">
                  <c:v>1.141</c:v>
                </c:pt>
                <c:pt idx="10">
                  <c:v>1.219090909090909</c:v>
                </c:pt>
                <c:pt idx="11">
                  <c:v>1.1175</c:v>
                </c:pt>
                <c:pt idx="12">
                  <c:v>1.031538461538462</c:v>
                </c:pt>
                <c:pt idx="13">
                  <c:v>1.136428571428571</c:v>
                </c:pt>
                <c:pt idx="14">
                  <c:v>1.454</c:v>
                </c:pt>
                <c:pt idx="15">
                  <c:v>1.550625</c:v>
                </c:pt>
                <c:pt idx="16">
                  <c:v>1.577058823529412</c:v>
                </c:pt>
                <c:pt idx="17">
                  <c:v>1.628333333333333</c:v>
                </c:pt>
                <c:pt idx="18">
                  <c:v>1.542631578947369</c:v>
                </c:pt>
                <c:pt idx="19">
                  <c:v>1.5155</c:v>
                </c:pt>
                <c:pt idx="20">
                  <c:v>1.443333333333333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662408"/>
        <c:axId val="2124655880"/>
      </c:lineChart>
      <c:catAx>
        <c:axId val="212466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655880"/>
        <c:crosses val="autoZero"/>
        <c:auto val="1"/>
        <c:lblAlgn val="ctr"/>
        <c:lblOffset val="100"/>
        <c:noMultiLvlLbl val="1"/>
      </c:catAx>
      <c:valAx>
        <c:axId val="212465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66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601784"/>
        <c:axId val="21245952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601784"/>
        <c:axId val="2124595256"/>
      </c:lineChart>
      <c:catAx>
        <c:axId val="2124601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95256"/>
        <c:crosses val="autoZero"/>
        <c:auto val="1"/>
        <c:lblAlgn val="ctr"/>
        <c:lblOffset val="100"/>
        <c:noMultiLvlLbl val="1"/>
      </c:catAx>
      <c:valAx>
        <c:axId val="212459525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6017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0.0</c:v>
                </c:pt>
                <c:pt idx="1">
                  <c:v>0.33</c:v>
                </c:pt>
                <c:pt idx="2">
                  <c:v>1.0</c:v>
                </c:pt>
                <c:pt idx="3">
                  <c:v>1.33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2.5</c:v>
                </c:pt>
                <c:pt idx="9">
                  <c:v>2.0</c:v>
                </c:pt>
                <c:pt idx="10">
                  <c:v>1.5</c:v>
                </c:pt>
                <c:pt idx="11">
                  <c:v>0.0</c:v>
                </c:pt>
                <c:pt idx="12">
                  <c:v>0.0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1.0</c:v>
                </c:pt>
                <c:pt idx="17">
                  <c:v>1.5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763512"/>
        <c:axId val="208686268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0.0</c:v>
                </c:pt>
                <c:pt idx="1">
                  <c:v>0.165</c:v>
                </c:pt>
                <c:pt idx="2">
                  <c:v>0.443333333333333</c:v>
                </c:pt>
                <c:pt idx="3">
                  <c:v>0.665</c:v>
                </c:pt>
                <c:pt idx="4">
                  <c:v>0.532</c:v>
                </c:pt>
                <c:pt idx="5">
                  <c:v>0.443333333333333</c:v>
                </c:pt>
                <c:pt idx="6">
                  <c:v>0.38</c:v>
                </c:pt>
                <c:pt idx="7">
                  <c:v>0.3325</c:v>
                </c:pt>
                <c:pt idx="8">
                  <c:v>0.628888888888889</c:v>
                </c:pt>
                <c:pt idx="9">
                  <c:v>0.766</c:v>
                </c:pt>
                <c:pt idx="10">
                  <c:v>0.832727272727273</c:v>
                </c:pt>
                <c:pt idx="11">
                  <c:v>0.763333333333333</c:v>
                </c:pt>
                <c:pt idx="12">
                  <c:v>0.704615384615385</c:v>
                </c:pt>
                <c:pt idx="13">
                  <c:v>0.832857142857143</c:v>
                </c:pt>
                <c:pt idx="14">
                  <c:v>0.904</c:v>
                </c:pt>
                <c:pt idx="15">
                  <c:v>0.91</c:v>
                </c:pt>
                <c:pt idx="16">
                  <c:v>0.915294117647059</c:v>
                </c:pt>
                <c:pt idx="17">
                  <c:v>0.947777777777778</c:v>
                </c:pt>
                <c:pt idx="18">
                  <c:v>0.897894736842105</c:v>
                </c:pt>
                <c:pt idx="19">
                  <c:v>0.853</c:v>
                </c:pt>
                <c:pt idx="20">
                  <c:v>0.812380952380952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63512"/>
        <c:axId val="2086862680"/>
      </c:lineChart>
      <c:catAx>
        <c:axId val="2125763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862680"/>
        <c:crosses val="autoZero"/>
        <c:auto val="1"/>
        <c:lblAlgn val="ctr"/>
        <c:lblOffset val="100"/>
        <c:noMultiLvlLbl val="1"/>
      </c:catAx>
      <c:valAx>
        <c:axId val="208686268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635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1.0</c:v>
                </c:pt>
                <c:pt idx="15">
                  <c:v>2.0</c:v>
                </c:pt>
                <c:pt idx="16">
                  <c:v>0.0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0.5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3.0</c:v>
                </c:pt>
                <c:pt idx="15">
                  <c:v>0.0</c:v>
                </c:pt>
                <c:pt idx="16">
                  <c:v>1.0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6697896"/>
        <c:axId val="208669141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0.0</c:v>
                </c:pt>
                <c:pt idx="1">
                  <c:v>0.125</c:v>
                </c:pt>
                <c:pt idx="2">
                  <c:v>0.0833333333333333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</c:v>
                </c:pt>
                <c:pt idx="6">
                  <c:v>0.178571428571429</c:v>
                </c:pt>
                <c:pt idx="7">
                  <c:v>0.15625</c:v>
                </c:pt>
                <c:pt idx="8">
                  <c:v>0.194444444444444</c:v>
                </c:pt>
                <c:pt idx="9">
                  <c:v>0.375</c:v>
                </c:pt>
                <c:pt idx="10">
                  <c:v>0.386363636363636</c:v>
                </c:pt>
                <c:pt idx="11">
                  <c:v>0.354166666666667</c:v>
                </c:pt>
                <c:pt idx="12">
                  <c:v>0.326923076923077</c:v>
                </c:pt>
                <c:pt idx="13">
                  <c:v>0.303571428571429</c:v>
                </c:pt>
                <c:pt idx="14">
                  <c:v>0.55</c:v>
                </c:pt>
                <c:pt idx="15">
                  <c:v>0.640625</c:v>
                </c:pt>
                <c:pt idx="16">
                  <c:v>0.661764705882353</c:v>
                </c:pt>
                <c:pt idx="17">
                  <c:v>0.680555555555555</c:v>
                </c:pt>
                <c:pt idx="18">
                  <c:v>0.644736842105263</c:v>
                </c:pt>
                <c:pt idx="19">
                  <c:v>0.6625</c:v>
                </c:pt>
                <c:pt idx="20">
                  <c:v>0.630952380952381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697896"/>
        <c:axId val="2086691416"/>
      </c:lineChart>
      <c:catAx>
        <c:axId val="208669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91416"/>
        <c:crosses val="autoZero"/>
        <c:auto val="1"/>
        <c:lblAlgn val="ctr"/>
        <c:lblOffset val="100"/>
        <c:noMultiLvlLbl val="1"/>
      </c:catAx>
      <c:valAx>
        <c:axId val="208669141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9789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956184"/>
        <c:axId val="212696266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956184"/>
        <c:axId val="2126962664"/>
      </c:lineChart>
      <c:catAx>
        <c:axId val="2126956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62664"/>
        <c:crosses val="autoZero"/>
        <c:auto val="1"/>
        <c:lblAlgn val="ctr"/>
        <c:lblOffset val="100"/>
        <c:noMultiLvlLbl val="1"/>
      </c:catAx>
      <c:valAx>
        <c:axId val="212696266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561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4.0</c:v>
                </c:pt>
                <c:pt idx="1">
                  <c:v>0.75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2.5</c:v>
                </c:pt>
                <c:pt idx="7">
                  <c:v>0.0</c:v>
                </c:pt>
                <c:pt idx="8">
                  <c:v>1.5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046248"/>
        <c:axId val="2127052728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4.0</c:v>
                </c:pt>
                <c:pt idx="1">
                  <c:v>2.875</c:v>
                </c:pt>
                <c:pt idx="2">
                  <c:v>1.916666666666667</c:v>
                </c:pt>
                <c:pt idx="3">
                  <c:v>1.5625</c:v>
                </c:pt>
                <c:pt idx="4">
                  <c:v>1.25</c:v>
                </c:pt>
                <c:pt idx="5">
                  <c:v>1.041666666666667</c:v>
                </c:pt>
                <c:pt idx="6">
                  <c:v>1.392857142857143</c:v>
                </c:pt>
                <c:pt idx="7">
                  <c:v>1.21875</c:v>
                </c:pt>
                <c:pt idx="8">
                  <c:v>1.25</c:v>
                </c:pt>
                <c:pt idx="9">
                  <c:v>1.175</c:v>
                </c:pt>
                <c:pt idx="10">
                  <c:v>1.068181818181818</c:v>
                </c:pt>
                <c:pt idx="11">
                  <c:v>0.979166666666667</c:v>
                </c:pt>
                <c:pt idx="12">
                  <c:v>0.903846153846154</c:v>
                </c:pt>
                <c:pt idx="13">
                  <c:v>1.017857142857143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046248"/>
        <c:axId val="2127052728"/>
      </c:lineChart>
      <c:catAx>
        <c:axId val="2127046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052728"/>
        <c:crosses val="autoZero"/>
        <c:auto val="0"/>
        <c:lblAlgn val="ctr"/>
        <c:lblOffset val="100"/>
        <c:noMultiLvlLbl val="1"/>
      </c:catAx>
      <c:valAx>
        <c:axId val="212705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04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110680"/>
        <c:axId val="21271171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10680"/>
        <c:axId val="2127117160"/>
      </c:lineChart>
      <c:catAx>
        <c:axId val="2127110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17160"/>
        <c:crosses val="autoZero"/>
        <c:auto val="1"/>
        <c:lblAlgn val="ctr"/>
        <c:lblOffset val="100"/>
        <c:noMultiLvlLbl val="1"/>
      </c:catAx>
      <c:valAx>
        <c:axId val="212711716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1068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4.0</c:v>
                </c:pt>
                <c:pt idx="1">
                  <c:v>0.75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0.5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171560"/>
        <c:axId val="212717804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4.0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1.15</c:v>
                </c:pt>
                <c:pt idx="5">
                  <c:v>0.958333333333333</c:v>
                </c:pt>
                <c:pt idx="6">
                  <c:v>0.892857142857143</c:v>
                </c:pt>
                <c:pt idx="7">
                  <c:v>0.78125</c:v>
                </c:pt>
                <c:pt idx="8">
                  <c:v>0.861111111111111</c:v>
                </c:pt>
                <c:pt idx="9">
                  <c:v>0.775</c:v>
                </c:pt>
                <c:pt idx="10">
                  <c:v>0.704545454545455</c:v>
                </c:pt>
                <c:pt idx="11">
                  <c:v>0.645833333333333</c:v>
                </c:pt>
                <c:pt idx="12">
                  <c:v>0.596153846153846</c:v>
                </c:pt>
                <c:pt idx="13">
                  <c:v>0.660714285714286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71560"/>
        <c:axId val="2127178040"/>
      </c:lineChart>
      <c:catAx>
        <c:axId val="2127171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78040"/>
        <c:crosses val="autoZero"/>
        <c:auto val="1"/>
        <c:lblAlgn val="ctr"/>
        <c:lblOffset val="100"/>
        <c:noMultiLvlLbl val="1"/>
      </c:catAx>
      <c:valAx>
        <c:axId val="212717804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7156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0.5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2.5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232680"/>
        <c:axId val="21272391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0.0</c:v>
                </c:pt>
                <c:pt idx="1">
                  <c:v>0.25</c:v>
                </c:pt>
                <c:pt idx="2">
                  <c:v>0.166666666666667</c:v>
                </c:pt>
                <c:pt idx="3">
                  <c:v>0.125</c:v>
                </c:pt>
                <c:pt idx="4">
                  <c:v>0.1</c:v>
                </c:pt>
                <c:pt idx="5">
                  <c:v>0.0833333333333333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0.388888888888889</c:v>
                </c:pt>
                <c:pt idx="9">
                  <c:v>0.4</c:v>
                </c:pt>
                <c:pt idx="10">
                  <c:v>0.363636363636364</c:v>
                </c:pt>
                <c:pt idx="11">
                  <c:v>0.333333333333333</c:v>
                </c:pt>
                <c:pt idx="12">
                  <c:v>0.307692307692308</c:v>
                </c:pt>
                <c:pt idx="13">
                  <c:v>0.357142857142857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232680"/>
        <c:axId val="2127239160"/>
      </c:lineChart>
      <c:catAx>
        <c:axId val="2127232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239160"/>
        <c:crosses val="autoZero"/>
        <c:auto val="1"/>
        <c:lblAlgn val="ctr"/>
        <c:lblOffset val="100"/>
        <c:noMultiLvlLbl val="1"/>
      </c:catAx>
      <c:valAx>
        <c:axId val="212723916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23268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352456"/>
        <c:axId val="212435893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352456"/>
        <c:axId val="2124358936"/>
      </c:lineChart>
      <c:catAx>
        <c:axId val="2124352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358936"/>
        <c:crosses val="autoZero"/>
        <c:auto val="1"/>
        <c:lblAlgn val="ctr"/>
        <c:lblOffset val="100"/>
        <c:noMultiLvlLbl val="1"/>
      </c:catAx>
      <c:valAx>
        <c:axId val="212435893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3524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732088"/>
        <c:axId val="212372556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32088"/>
        <c:axId val="2123725560"/>
      </c:lineChart>
      <c:catAx>
        <c:axId val="2123732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725560"/>
        <c:crosses val="autoZero"/>
        <c:auto val="0"/>
        <c:lblAlgn val="ctr"/>
        <c:lblOffset val="100"/>
        <c:noMultiLvlLbl val="1"/>
      </c:catAx>
      <c:valAx>
        <c:axId val="212372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732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667656"/>
        <c:axId val="212366112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667656"/>
        <c:axId val="2123661128"/>
      </c:lineChart>
      <c:catAx>
        <c:axId val="2123667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661128"/>
        <c:crosses val="autoZero"/>
        <c:auto val="1"/>
        <c:lblAlgn val="ctr"/>
        <c:lblOffset val="100"/>
        <c:noMultiLvlLbl val="1"/>
      </c:catAx>
      <c:valAx>
        <c:axId val="21236611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6676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606648"/>
        <c:axId val="21236001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606648"/>
        <c:axId val="2123600120"/>
      </c:lineChart>
      <c:catAx>
        <c:axId val="2123606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600120"/>
        <c:crosses val="autoZero"/>
        <c:auto val="1"/>
        <c:lblAlgn val="ctr"/>
        <c:lblOffset val="100"/>
        <c:noMultiLvlLbl val="1"/>
      </c:catAx>
      <c:valAx>
        <c:axId val="212360012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6066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545512"/>
        <c:axId val="212353898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545512"/>
        <c:axId val="2123538984"/>
      </c:lineChart>
      <c:catAx>
        <c:axId val="2123545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538984"/>
        <c:crosses val="autoZero"/>
        <c:auto val="1"/>
        <c:lblAlgn val="ctr"/>
        <c:lblOffset val="100"/>
        <c:noMultiLvlLbl val="1"/>
      </c:catAx>
      <c:valAx>
        <c:axId val="21235389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5455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758312"/>
        <c:axId val="212575178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58312"/>
        <c:axId val="2125751784"/>
      </c:lineChart>
      <c:catAx>
        <c:axId val="2125758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51784"/>
        <c:crosses val="autoZero"/>
        <c:auto val="1"/>
        <c:lblAlgn val="ctr"/>
        <c:lblOffset val="100"/>
        <c:noMultiLvlLbl val="1"/>
      </c:catAx>
      <c:valAx>
        <c:axId val="21257517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583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633560"/>
        <c:axId val="2123572056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633560"/>
        <c:axId val="2123572056"/>
      </c:lineChart>
      <c:catAx>
        <c:axId val="2123633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572056"/>
        <c:crosses val="autoZero"/>
        <c:auto val="0"/>
        <c:lblAlgn val="ctr"/>
        <c:lblOffset val="100"/>
        <c:noMultiLvlLbl val="1"/>
      </c:catAx>
      <c:valAx>
        <c:axId val="212357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633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509400"/>
        <c:axId val="20369065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509400"/>
        <c:axId val="2036906504"/>
      </c:lineChart>
      <c:catAx>
        <c:axId val="2123509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06504"/>
        <c:crosses val="autoZero"/>
        <c:auto val="1"/>
        <c:lblAlgn val="ctr"/>
        <c:lblOffset val="100"/>
        <c:noMultiLvlLbl val="1"/>
      </c:catAx>
      <c:valAx>
        <c:axId val="203690650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5094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670056"/>
        <c:axId val="21256635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70056"/>
        <c:axId val="2125663528"/>
      </c:lineChart>
      <c:catAx>
        <c:axId val="2125670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663528"/>
        <c:crosses val="autoZero"/>
        <c:auto val="1"/>
        <c:lblAlgn val="ctr"/>
        <c:lblOffset val="100"/>
        <c:noMultiLvlLbl val="1"/>
      </c:catAx>
      <c:valAx>
        <c:axId val="21256635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6700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7020024"/>
        <c:axId val="20369396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020024"/>
        <c:axId val="2036939672"/>
      </c:lineChart>
      <c:catAx>
        <c:axId val="2037020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39672"/>
        <c:crosses val="autoZero"/>
        <c:auto val="1"/>
        <c:lblAlgn val="ctr"/>
        <c:lblOffset val="100"/>
        <c:noMultiLvlLbl val="1"/>
      </c:catAx>
      <c:valAx>
        <c:axId val="20369396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02002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632840"/>
        <c:axId val="212562631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32840"/>
        <c:axId val="2125626312"/>
      </c:lineChart>
      <c:catAx>
        <c:axId val="2125632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626312"/>
        <c:crosses val="autoZero"/>
        <c:auto val="1"/>
        <c:lblAlgn val="ctr"/>
        <c:lblOffset val="100"/>
        <c:noMultiLvlLbl val="1"/>
      </c:catAx>
      <c:valAx>
        <c:axId val="212562631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6328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516632"/>
        <c:axId val="212451010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516632"/>
        <c:axId val="2124510104"/>
      </c:lineChart>
      <c:catAx>
        <c:axId val="2124516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10104"/>
        <c:crosses val="autoZero"/>
        <c:auto val="0"/>
        <c:lblAlgn val="ctr"/>
        <c:lblOffset val="100"/>
        <c:noMultiLvlLbl val="1"/>
      </c:catAx>
      <c:valAx>
        <c:axId val="2124510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1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445640"/>
        <c:axId val="212443911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445640"/>
        <c:axId val="2124439112"/>
      </c:lineChart>
      <c:catAx>
        <c:axId val="2124445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439112"/>
        <c:crosses val="autoZero"/>
        <c:auto val="1"/>
        <c:lblAlgn val="ctr"/>
        <c:lblOffset val="100"/>
        <c:noMultiLvlLbl val="1"/>
      </c:catAx>
      <c:valAx>
        <c:axId val="212443911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4456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004792"/>
        <c:axId val="21280112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004792"/>
        <c:axId val="2128011272"/>
      </c:lineChart>
      <c:catAx>
        <c:axId val="2128004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011272"/>
        <c:crosses val="autoZero"/>
        <c:auto val="1"/>
        <c:lblAlgn val="ctr"/>
        <c:lblOffset val="100"/>
        <c:noMultiLvlLbl val="1"/>
      </c:catAx>
      <c:valAx>
        <c:axId val="21280112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00479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065832"/>
        <c:axId val="212807231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065832"/>
        <c:axId val="2128072312"/>
      </c:lineChart>
      <c:catAx>
        <c:axId val="2128065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072312"/>
        <c:crosses val="autoZero"/>
        <c:auto val="1"/>
        <c:lblAlgn val="ctr"/>
        <c:lblOffset val="100"/>
        <c:noMultiLvlLbl val="1"/>
      </c:catAx>
      <c:valAx>
        <c:axId val="212807231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06583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126952"/>
        <c:axId val="212813343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126952"/>
        <c:axId val="2128133432"/>
      </c:lineChart>
      <c:catAx>
        <c:axId val="2128126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133432"/>
        <c:crosses val="autoZero"/>
        <c:auto val="1"/>
        <c:lblAlgn val="ctr"/>
        <c:lblOffset val="100"/>
        <c:noMultiLvlLbl val="1"/>
      </c:catAx>
      <c:valAx>
        <c:axId val="21281334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12695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214312"/>
        <c:axId val="2128220792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214312"/>
        <c:axId val="2128220792"/>
      </c:lineChart>
      <c:catAx>
        <c:axId val="2128214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20792"/>
        <c:crosses val="autoZero"/>
        <c:auto val="0"/>
        <c:lblAlgn val="ctr"/>
        <c:lblOffset val="100"/>
        <c:noMultiLvlLbl val="1"/>
      </c:catAx>
      <c:valAx>
        <c:axId val="212822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14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278744"/>
        <c:axId val="212828522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278744"/>
        <c:axId val="2128285224"/>
      </c:lineChart>
      <c:catAx>
        <c:axId val="2128278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85224"/>
        <c:crosses val="autoZero"/>
        <c:auto val="1"/>
        <c:lblAlgn val="ctr"/>
        <c:lblOffset val="100"/>
        <c:noMultiLvlLbl val="1"/>
      </c:catAx>
      <c:valAx>
        <c:axId val="212828522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7874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339400"/>
        <c:axId val="212834588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339400"/>
        <c:axId val="2128345880"/>
      </c:lineChart>
      <c:catAx>
        <c:axId val="2128339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345880"/>
        <c:crosses val="autoZero"/>
        <c:auto val="1"/>
        <c:lblAlgn val="ctr"/>
        <c:lblOffset val="100"/>
        <c:noMultiLvlLbl val="1"/>
      </c:catAx>
      <c:valAx>
        <c:axId val="212834588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3394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358664"/>
        <c:axId val="212736514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358664"/>
        <c:axId val="2127365144"/>
      </c:lineChart>
      <c:catAx>
        <c:axId val="2127358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365144"/>
        <c:crosses val="autoZero"/>
        <c:auto val="1"/>
        <c:lblAlgn val="ctr"/>
        <c:lblOffset val="100"/>
        <c:noMultiLvlLbl val="1"/>
      </c:catAx>
      <c:valAx>
        <c:axId val="212736514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35866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419816"/>
        <c:axId val="21284262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419816"/>
        <c:axId val="2128426296"/>
      </c:lineChart>
      <c:catAx>
        <c:axId val="2128419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26296"/>
        <c:crosses val="autoZero"/>
        <c:auto val="1"/>
        <c:lblAlgn val="ctr"/>
        <c:lblOffset val="100"/>
        <c:noMultiLvlLbl val="1"/>
      </c:catAx>
      <c:valAx>
        <c:axId val="212842629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1981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6940232"/>
        <c:axId val="2036972584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6940232"/>
        <c:axId val="2036972584"/>
      </c:lineChart>
      <c:catAx>
        <c:axId val="2036940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72584"/>
        <c:crosses val="autoZero"/>
        <c:auto val="0"/>
        <c:lblAlgn val="ctr"/>
        <c:lblOffset val="100"/>
        <c:noMultiLvlLbl val="1"/>
      </c:catAx>
      <c:valAx>
        <c:axId val="203697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4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525192"/>
        <c:axId val="21255186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525192"/>
        <c:axId val="2125518664"/>
      </c:lineChart>
      <c:catAx>
        <c:axId val="2125525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518664"/>
        <c:crosses val="autoZero"/>
        <c:auto val="1"/>
        <c:lblAlgn val="ctr"/>
        <c:lblOffset val="100"/>
        <c:noMultiLvlLbl val="1"/>
      </c:catAx>
      <c:valAx>
        <c:axId val="212551866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52519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464312"/>
        <c:axId val="212902890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464312"/>
        <c:axId val="2129028904"/>
      </c:lineChart>
      <c:catAx>
        <c:axId val="2125464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028904"/>
        <c:crosses val="autoZero"/>
        <c:auto val="1"/>
        <c:lblAlgn val="ctr"/>
        <c:lblOffset val="100"/>
        <c:noMultiLvlLbl val="1"/>
      </c:catAx>
      <c:valAx>
        <c:axId val="212902890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4643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9083464"/>
        <c:axId val="212908994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083464"/>
        <c:axId val="2129089944"/>
      </c:lineChart>
      <c:catAx>
        <c:axId val="2129083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089944"/>
        <c:crosses val="autoZero"/>
        <c:auto val="1"/>
        <c:lblAlgn val="ctr"/>
        <c:lblOffset val="100"/>
        <c:noMultiLvlLbl val="1"/>
      </c:catAx>
      <c:valAx>
        <c:axId val="212908994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08346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9144584"/>
        <c:axId val="21291510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144584"/>
        <c:axId val="2129151064"/>
      </c:lineChart>
      <c:catAx>
        <c:axId val="2129144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151064"/>
        <c:crosses val="autoZero"/>
        <c:auto val="1"/>
        <c:lblAlgn val="ctr"/>
        <c:lblOffset val="100"/>
        <c:noMultiLvlLbl val="1"/>
      </c:catAx>
      <c:valAx>
        <c:axId val="212915106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1445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428952"/>
        <c:axId val="2127435432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428952"/>
        <c:axId val="2127435432"/>
      </c:lineChart>
      <c:catAx>
        <c:axId val="212742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35432"/>
        <c:crosses val="autoZero"/>
        <c:auto val="0"/>
        <c:lblAlgn val="ctr"/>
        <c:lblOffset val="100"/>
        <c:noMultiLvlLbl val="1"/>
      </c:catAx>
      <c:valAx>
        <c:axId val="21274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28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493384"/>
        <c:axId val="212749986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493384"/>
        <c:axId val="2127499864"/>
      </c:lineChart>
      <c:catAx>
        <c:axId val="2127493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99864"/>
        <c:crosses val="autoZero"/>
        <c:auto val="1"/>
        <c:lblAlgn val="ctr"/>
        <c:lblOffset val="100"/>
        <c:noMultiLvlLbl val="1"/>
      </c:catAx>
      <c:valAx>
        <c:axId val="212749986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933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916200"/>
        <c:axId val="21269096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916200"/>
        <c:axId val="2126909672"/>
      </c:lineChart>
      <c:catAx>
        <c:axId val="2126916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09672"/>
        <c:crosses val="autoZero"/>
        <c:auto val="1"/>
        <c:lblAlgn val="ctr"/>
        <c:lblOffset val="100"/>
        <c:noMultiLvlLbl val="1"/>
      </c:catAx>
      <c:valAx>
        <c:axId val="21269096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162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855160"/>
        <c:axId val="212684863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855160"/>
        <c:axId val="2126848632"/>
      </c:lineChart>
      <c:catAx>
        <c:axId val="2126855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848632"/>
        <c:crosses val="autoZero"/>
        <c:auto val="1"/>
        <c:lblAlgn val="ctr"/>
        <c:lblOffset val="100"/>
        <c:noMultiLvlLbl val="1"/>
      </c:catAx>
      <c:valAx>
        <c:axId val="21268486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85516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794600"/>
        <c:axId val="21267880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794600"/>
        <c:axId val="2126788072"/>
      </c:lineChart>
      <c:catAx>
        <c:axId val="2126794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88072"/>
        <c:crosses val="autoZero"/>
        <c:auto val="1"/>
        <c:lblAlgn val="ctr"/>
        <c:lblOffset val="100"/>
        <c:noMultiLvlLbl val="1"/>
      </c:catAx>
      <c:valAx>
        <c:axId val="21267880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946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463352"/>
        <c:axId val="2123456952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63352"/>
        <c:axId val="2123456952"/>
      </c:lineChart>
      <c:catAx>
        <c:axId val="212346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56952"/>
        <c:crosses val="autoZero"/>
        <c:auto val="0"/>
        <c:lblAlgn val="ctr"/>
        <c:lblOffset val="100"/>
        <c:noMultiLvlLbl val="1"/>
      </c:catAx>
      <c:valAx>
        <c:axId val="212345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3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399288"/>
        <c:axId val="212846156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9288"/>
        <c:axId val="2128461560"/>
      </c:lineChart>
      <c:catAx>
        <c:axId val="2123399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61560"/>
        <c:crosses val="autoZero"/>
        <c:auto val="1"/>
        <c:lblAlgn val="ctr"/>
        <c:lblOffset val="100"/>
        <c:noMultiLvlLbl val="1"/>
      </c:catAx>
      <c:valAx>
        <c:axId val="212846156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3992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528760"/>
        <c:axId val="212853368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528760"/>
        <c:axId val="2128533688"/>
      </c:lineChart>
      <c:catAx>
        <c:axId val="2128528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33688"/>
        <c:crosses val="autoZero"/>
        <c:auto val="1"/>
        <c:lblAlgn val="ctr"/>
        <c:lblOffset val="100"/>
        <c:noMultiLvlLbl val="1"/>
      </c:catAx>
      <c:valAx>
        <c:axId val="212853368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2876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588568"/>
        <c:axId val="212797253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588568"/>
        <c:axId val="2127972536"/>
      </c:lineChart>
      <c:catAx>
        <c:axId val="2128588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72536"/>
        <c:crosses val="autoZero"/>
        <c:auto val="1"/>
        <c:lblAlgn val="ctr"/>
        <c:lblOffset val="100"/>
        <c:noMultiLvlLbl val="1"/>
      </c:catAx>
      <c:valAx>
        <c:axId val="212797253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8856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925480"/>
        <c:axId val="212791895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925480"/>
        <c:axId val="2127918952"/>
      </c:lineChart>
      <c:catAx>
        <c:axId val="2127925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18952"/>
        <c:crosses val="autoZero"/>
        <c:auto val="1"/>
        <c:lblAlgn val="ctr"/>
        <c:lblOffset val="100"/>
        <c:noMultiLvlLbl val="1"/>
      </c:catAx>
      <c:valAx>
        <c:axId val="212791895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2548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336488"/>
        <c:axId val="2127532280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336488"/>
        <c:axId val="2127532280"/>
      </c:lineChart>
      <c:catAx>
        <c:axId val="2127336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532280"/>
        <c:crosses val="autoZero"/>
        <c:auto val="0"/>
        <c:lblAlgn val="ctr"/>
        <c:lblOffset val="100"/>
        <c:noMultiLvlLbl val="1"/>
      </c:catAx>
      <c:valAx>
        <c:axId val="212753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336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704440"/>
        <c:axId val="21266979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704440"/>
        <c:axId val="2126697912"/>
      </c:lineChart>
      <c:catAx>
        <c:axId val="212670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697912"/>
        <c:crosses val="autoZero"/>
        <c:auto val="1"/>
        <c:lblAlgn val="ctr"/>
        <c:lblOffset val="100"/>
        <c:noMultiLvlLbl val="1"/>
      </c:catAx>
      <c:valAx>
        <c:axId val="212669791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044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643512"/>
        <c:axId val="212663698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643512"/>
        <c:axId val="2126636984"/>
      </c:lineChart>
      <c:catAx>
        <c:axId val="2126643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636984"/>
        <c:crosses val="autoZero"/>
        <c:auto val="1"/>
        <c:lblAlgn val="ctr"/>
        <c:lblOffset val="100"/>
        <c:noMultiLvlLbl val="1"/>
      </c:catAx>
      <c:valAx>
        <c:axId val="21266369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6435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0075752"/>
        <c:axId val="213008223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075752"/>
        <c:axId val="2130082232"/>
      </c:lineChart>
      <c:catAx>
        <c:axId val="2130075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82232"/>
        <c:crosses val="autoZero"/>
        <c:auto val="1"/>
        <c:lblAlgn val="ctr"/>
        <c:lblOffset val="100"/>
        <c:noMultiLvlLbl val="1"/>
      </c:catAx>
      <c:valAx>
        <c:axId val="21300822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7575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593080"/>
        <c:axId val="212658655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593080"/>
        <c:axId val="2126586552"/>
      </c:lineChart>
      <c:catAx>
        <c:axId val="2126593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586552"/>
        <c:crosses val="autoZero"/>
        <c:auto val="1"/>
        <c:lblAlgn val="ctr"/>
        <c:lblOffset val="100"/>
        <c:noMultiLvlLbl val="1"/>
      </c:catAx>
      <c:valAx>
        <c:axId val="212658655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59308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9219032"/>
        <c:axId val="2129225512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219032"/>
        <c:axId val="2129225512"/>
      </c:lineChart>
      <c:catAx>
        <c:axId val="2129219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225512"/>
        <c:crosses val="autoZero"/>
        <c:auto val="0"/>
        <c:lblAlgn val="ctr"/>
        <c:lblOffset val="100"/>
        <c:noMultiLvlLbl val="1"/>
      </c:catAx>
      <c:valAx>
        <c:axId val="212922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21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1143592"/>
        <c:axId val="213115007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1143592"/>
        <c:axId val="2131150072"/>
      </c:lineChart>
      <c:catAx>
        <c:axId val="2131143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150072"/>
        <c:crosses val="autoZero"/>
        <c:auto val="1"/>
        <c:lblAlgn val="ctr"/>
        <c:lblOffset val="100"/>
        <c:noMultiLvlLbl val="1"/>
      </c:catAx>
      <c:valAx>
        <c:axId val="21311500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14359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1204248"/>
        <c:axId val="213121072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1204248"/>
        <c:axId val="2131210728"/>
      </c:lineChart>
      <c:catAx>
        <c:axId val="2131204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210728"/>
        <c:crosses val="autoZero"/>
        <c:auto val="1"/>
        <c:lblAlgn val="ctr"/>
        <c:lblOffset val="100"/>
        <c:noMultiLvlLbl val="1"/>
      </c:catAx>
      <c:valAx>
        <c:axId val="21312107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2042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873128"/>
        <c:axId val="212786672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873128"/>
        <c:axId val="2127866728"/>
      </c:lineChart>
      <c:catAx>
        <c:axId val="2127873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866728"/>
        <c:crosses val="autoZero"/>
        <c:auto val="1"/>
        <c:lblAlgn val="ctr"/>
        <c:lblOffset val="100"/>
        <c:noMultiLvlLbl val="1"/>
      </c:catAx>
      <c:valAx>
        <c:axId val="21278667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87312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9274328"/>
        <c:axId val="212928080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274328"/>
        <c:axId val="2129280808"/>
      </c:lineChart>
      <c:catAx>
        <c:axId val="2129274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280808"/>
        <c:crosses val="autoZero"/>
        <c:auto val="1"/>
        <c:lblAlgn val="ctr"/>
        <c:lblOffset val="100"/>
        <c:noMultiLvlLbl val="1"/>
      </c:catAx>
      <c:valAx>
        <c:axId val="212928080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27432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4" Type="http://schemas.openxmlformats.org/officeDocument/2006/relationships/chart" Target="../charts/chart24.xml"/><Relationship Id="rId5" Type="http://schemas.openxmlformats.org/officeDocument/2006/relationships/chart" Target="../charts/chart25.xml"/><Relationship Id="rId1" Type="http://schemas.openxmlformats.org/officeDocument/2006/relationships/chart" Target="../charts/chart21.xml"/><Relationship Id="rId2" Type="http://schemas.openxmlformats.org/officeDocument/2006/relationships/chart" Target="../charts/chart2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4" Type="http://schemas.openxmlformats.org/officeDocument/2006/relationships/chart" Target="../charts/chart29.xml"/><Relationship Id="rId5" Type="http://schemas.openxmlformats.org/officeDocument/2006/relationships/chart" Target="../charts/chart30.xml"/><Relationship Id="rId1" Type="http://schemas.openxmlformats.org/officeDocument/2006/relationships/chart" Target="../charts/chart26.xml"/><Relationship Id="rId2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4" Type="http://schemas.openxmlformats.org/officeDocument/2006/relationships/chart" Target="../charts/chart34.xml"/><Relationship Id="rId5" Type="http://schemas.openxmlformats.org/officeDocument/2006/relationships/chart" Target="../charts/chart35.xml"/><Relationship Id="rId1" Type="http://schemas.openxmlformats.org/officeDocument/2006/relationships/chart" Target="../charts/chart31.xml"/><Relationship Id="rId2" Type="http://schemas.openxmlformats.org/officeDocument/2006/relationships/chart" Target="../charts/chart32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4" Type="http://schemas.openxmlformats.org/officeDocument/2006/relationships/chart" Target="../charts/chart39.xml"/><Relationship Id="rId5" Type="http://schemas.openxmlformats.org/officeDocument/2006/relationships/chart" Target="../charts/chart40.xml"/><Relationship Id="rId1" Type="http://schemas.openxmlformats.org/officeDocument/2006/relationships/chart" Target="../charts/chart36.xml"/><Relationship Id="rId2" Type="http://schemas.openxmlformats.org/officeDocument/2006/relationships/chart" Target="../charts/chart37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4" Type="http://schemas.openxmlformats.org/officeDocument/2006/relationships/chart" Target="../charts/chart44.xml"/><Relationship Id="rId5" Type="http://schemas.openxmlformats.org/officeDocument/2006/relationships/chart" Target="../charts/chart45.xml"/><Relationship Id="rId1" Type="http://schemas.openxmlformats.org/officeDocument/2006/relationships/chart" Target="../charts/chart41.xml"/><Relationship Id="rId2" Type="http://schemas.openxmlformats.org/officeDocument/2006/relationships/chart" Target="../charts/chart42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4" Type="http://schemas.openxmlformats.org/officeDocument/2006/relationships/chart" Target="../charts/chart49.xml"/><Relationship Id="rId5" Type="http://schemas.openxmlformats.org/officeDocument/2006/relationships/chart" Target="../charts/chart50.xml"/><Relationship Id="rId1" Type="http://schemas.openxmlformats.org/officeDocument/2006/relationships/chart" Target="../charts/chart46.xml"/><Relationship Id="rId2" Type="http://schemas.openxmlformats.org/officeDocument/2006/relationships/chart" Target="../charts/chart47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4" Type="http://schemas.openxmlformats.org/officeDocument/2006/relationships/chart" Target="../charts/chart54.xml"/><Relationship Id="rId5" Type="http://schemas.openxmlformats.org/officeDocument/2006/relationships/chart" Target="../charts/chart55.xml"/><Relationship Id="rId1" Type="http://schemas.openxmlformats.org/officeDocument/2006/relationships/chart" Target="../charts/chart51.xml"/><Relationship Id="rId2" Type="http://schemas.openxmlformats.org/officeDocument/2006/relationships/chart" Target="../charts/chart52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4" Type="http://schemas.openxmlformats.org/officeDocument/2006/relationships/chart" Target="../charts/chart59.xml"/><Relationship Id="rId5" Type="http://schemas.openxmlformats.org/officeDocument/2006/relationships/chart" Target="../charts/chart60.xml"/><Relationship Id="rId1" Type="http://schemas.openxmlformats.org/officeDocument/2006/relationships/chart" Target="../charts/chart56.xml"/><Relationship Id="rId2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29"/>
  <sheetViews>
    <sheetView topLeftCell="B1" workbookViewId="0">
      <selection activeCell="N41" sqref="N41"/>
    </sheetView>
  </sheetViews>
  <sheetFormatPr baseColWidth="10" defaultColWidth="8.83203125" defaultRowHeight="14" x14ac:dyDescent="0"/>
  <cols>
    <col min="1" max="1" width="9.1640625" customWidth="1"/>
    <col min="2" max="2" width="15.6640625" customWidth="1"/>
    <col min="3" max="3" width="9.1640625" customWidth="1"/>
  </cols>
  <sheetData>
    <row r="1" spans="1:25" ht="18">
      <c r="C1" s="76" t="s">
        <v>24</v>
      </c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25" s="10" customFormat="1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">
      <c r="B3" s="31" t="s">
        <v>36</v>
      </c>
      <c r="C3" s="73" t="s">
        <v>22</v>
      </c>
      <c r="D3" s="74"/>
      <c r="E3" s="74"/>
      <c r="F3" s="74"/>
      <c r="G3" s="74"/>
      <c r="H3" s="74"/>
      <c r="I3" s="74"/>
      <c r="J3" s="74"/>
      <c r="K3" s="74"/>
      <c r="L3" s="74"/>
      <c r="M3" s="74"/>
      <c r="N3" s="74" t="s">
        <v>23</v>
      </c>
      <c r="O3" s="74"/>
      <c r="P3" s="74"/>
      <c r="Q3" s="74"/>
      <c r="R3" s="74"/>
      <c r="S3" s="74"/>
      <c r="T3" s="74"/>
      <c r="U3" s="74"/>
      <c r="V3" s="74"/>
      <c r="W3" s="74"/>
      <c r="X3" s="74"/>
      <c r="Y3" s="75"/>
    </row>
    <row r="4" spans="1:25" ht="15">
      <c r="C4" s="72" t="s">
        <v>12</v>
      </c>
      <c r="D4" s="72"/>
      <c r="E4" s="72"/>
      <c r="F4" s="72" t="s">
        <v>11</v>
      </c>
      <c r="G4" s="72"/>
      <c r="H4" s="72" t="s">
        <v>13</v>
      </c>
      <c r="I4" s="72"/>
      <c r="J4" s="72" t="s">
        <v>14</v>
      </c>
      <c r="K4" s="72"/>
      <c r="L4" s="78" t="s">
        <v>15</v>
      </c>
      <c r="M4" s="79"/>
      <c r="N4" s="79" t="s">
        <v>16</v>
      </c>
      <c r="O4" s="80"/>
      <c r="P4" s="72" t="s">
        <v>17</v>
      </c>
      <c r="Q4" s="72"/>
      <c r="R4" s="72" t="s">
        <v>18</v>
      </c>
      <c r="S4" s="72"/>
      <c r="T4" s="72" t="s">
        <v>19</v>
      </c>
      <c r="U4" s="72"/>
      <c r="V4" s="72" t="s">
        <v>20</v>
      </c>
      <c r="W4" s="72"/>
      <c r="X4" s="72" t="s">
        <v>21</v>
      </c>
      <c r="Y4" s="72"/>
    </row>
    <row r="5" spans="1:25" s="6" customFormat="1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>
      <c r="A7" s="70" t="s">
        <v>44</v>
      </c>
      <c r="B7" s="8" t="str">
        <f xml:space="preserve"> CONCATENATE(Setup!$B$7, ", ", LEFT(Setup!$C$7,2))</f>
        <v>Nathan, NR</v>
      </c>
      <c r="C7" s="25">
        <f>SUM('Sprint 0'!C6:I6)</f>
        <v>0</v>
      </c>
      <c r="D7" s="25">
        <f>SUM('Sprint 0'!J6:P6)</f>
        <v>0</v>
      </c>
      <c r="E7" s="25">
        <f>SUM('Sprint 0'!Q6:W6)</f>
        <v>0</v>
      </c>
      <c r="F7" s="25">
        <f>SUM('Sprint 1'!C6:I6)</f>
        <v>0</v>
      </c>
      <c r="G7" s="25">
        <f>SUM('Sprint 1'!J6:P6)</f>
        <v>0</v>
      </c>
      <c r="H7" s="25">
        <f>SUM('Sprint 2'!C6:I6)</f>
        <v>0</v>
      </c>
      <c r="I7" s="25">
        <f>SUM('Sprint 2'!J6:P6)</f>
        <v>0</v>
      </c>
      <c r="J7" s="25">
        <f>SUM('Sprint 3'!C6:I6)</f>
        <v>0</v>
      </c>
      <c r="K7" s="25">
        <f>SUM('Sprint 3'!J6:P6)</f>
        <v>0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>
      <c r="A8" s="70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'Sprint 1'!C26</f>
        <v>0</v>
      </c>
      <c r="G8" s="25">
        <f>SUM('Sprint 1'!J7:P7)</f>
        <v>1.5</v>
      </c>
      <c r="H8" s="25">
        <f>SUM('Sprint 2'!C7:I7)</f>
        <v>0</v>
      </c>
      <c r="I8" s="25">
        <f>SUM('Sprint 2'!J7:P7)</f>
        <v>0</v>
      </c>
      <c r="J8" s="25">
        <f>SUM('Sprint 3'!C7:I7)</f>
        <v>0</v>
      </c>
      <c r="K8" s="25">
        <f>SUM('Sprint 3'!J7:P7)</f>
        <v>0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>
      <c r="A9" s="70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'Sprint 1'!C27</f>
        <v>0</v>
      </c>
      <c r="G9" s="25">
        <f>SUM('Sprint 1'!J8:P8)</f>
        <v>1</v>
      </c>
      <c r="H9" s="25">
        <f>SUM('Sprint 2'!C8:I8)</f>
        <v>0</v>
      </c>
      <c r="I9" s="25">
        <f>SUM('Sprint 2'!J8:P8)</f>
        <v>0</v>
      </c>
      <c r="J9" s="25">
        <f>SUM('Sprint 3'!C8:I8)</f>
        <v>0</v>
      </c>
      <c r="K9" s="25">
        <f>SUM('Sprint 3'!J8:P8)</f>
        <v>0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>
      <c r="A10" s="70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'Sprint 1'!C28</f>
        <v>4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">
      <c r="A11" s="70"/>
      <c r="B11" s="9" t="s">
        <v>30</v>
      </c>
      <c r="C11" s="21">
        <f xml:space="preserve"> SUM(C7:C10)</f>
        <v>1</v>
      </c>
      <c r="D11" s="21">
        <f t="shared" ref="D11:M11" si="2" xml:space="preserve"> SUM(D7:D10)</f>
        <v>2.25</v>
      </c>
      <c r="E11" s="21">
        <f t="shared" si="2"/>
        <v>5.5</v>
      </c>
      <c r="F11" s="21">
        <f t="shared" si="2"/>
        <v>4</v>
      </c>
      <c r="G11" s="21">
        <f t="shared" si="2"/>
        <v>2.5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>
      <c r="A12" s="6"/>
      <c r="M12" s="49"/>
      <c r="N12" s="50"/>
    </row>
    <row r="13" spans="1:25">
      <c r="A13" s="70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0</v>
      </c>
      <c r="E13" s="25">
        <f>SUM('Sprint 0'!Q18:W18)</f>
        <v>0</v>
      </c>
      <c r="F13" s="25">
        <f>SUM('Sprint 1'!C18:I18)</f>
        <v>0</v>
      </c>
      <c r="G13" s="25">
        <f>SUM('Sprint 1'!J18:P18)</f>
        <v>0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>
      <c r="A14" s="70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>
      <c r="A15" s="70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>
      <c r="A16" s="70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">
      <c r="A17" s="70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9.75</v>
      </c>
      <c r="E17" s="21">
        <f t="shared" ref="E17" si="5" xml:space="preserve"> SUM(E13:E16)</f>
        <v>8.9</v>
      </c>
      <c r="F17" s="21">
        <f t="shared" ref="F17" si="6" xml:space="preserve"> SUM(F13:F16)</f>
        <v>6.25</v>
      </c>
      <c r="G17" s="21">
        <f t="shared" ref="G17" si="7" xml:space="preserve"> SUM(G13:G16)</f>
        <v>2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>
      <c r="M18" s="49"/>
      <c r="N18" s="50"/>
    </row>
    <row r="19" spans="1:25">
      <c r="A19" s="71" t="s">
        <v>39</v>
      </c>
      <c r="B19" s="8" t="str">
        <f xml:space="preserve"> CONCATENATE(Setup!$B$7, ", ", LEFT(Setup!$C$7,2))</f>
        <v>Nathan, NR</v>
      </c>
      <c r="C19" s="25">
        <f xml:space="preserve"> C7 + C13</f>
        <v>0</v>
      </c>
      <c r="D19" s="25">
        <f xml:space="preserve"> C19 + D7 + D14</f>
        <v>8.5</v>
      </c>
      <c r="E19" s="25">
        <f t="shared" ref="E19:Y22" si="25" xml:space="preserve"> D19 + E7 + E14</f>
        <v>13.4</v>
      </c>
      <c r="F19" s="25">
        <f t="shared" si="25"/>
        <v>19.149999999999999</v>
      </c>
      <c r="G19" s="25">
        <f t="shared" si="25"/>
        <v>20.65</v>
      </c>
      <c r="H19" s="25">
        <f t="shared" si="25"/>
        <v>20.65</v>
      </c>
      <c r="I19" s="25">
        <f t="shared" si="25"/>
        <v>20.65</v>
      </c>
      <c r="J19" s="25">
        <f t="shared" si="25"/>
        <v>20.65</v>
      </c>
      <c r="K19" s="25">
        <f t="shared" si="25"/>
        <v>20.65</v>
      </c>
      <c r="L19" s="25">
        <f t="shared" si="25"/>
        <v>20.65</v>
      </c>
      <c r="M19" s="45">
        <f t="shared" si="25"/>
        <v>20.65</v>
      </c>
      <c r="N19" s="46">
        <f t="shared" si="25"/>
        <v>20.65</v>
      </c>
      <c r="O19" s="25">
        <f t="shared" si="25"/>
        <v>20.65</v>
      </c>
      <c r="P19" s="25">
        <f t="shared" si="25"/>
        <v>20.65</v>
      </c>
      <c r="Q19" s="25">
        <f t="shared" si="25"/>
        <v>20.65</v>
      </c>
      <c r="R19" s="25">
        <f t="shared" si="25"/>
        <v>20.65</v>
      </c>
      <c r="S19" s="25">
        <f t="shared" si="25"/>
        <v>20.65</v>
      </c>
      <c r="T19" s="25">
        <f t="shared" si="25"/>
        <v>20.65</v>
      </c>
      <c r="U19" s="25">
        <f t="shared" si="25"/>
        <v>20.65</v>
      </c>
      <c r="V19" s="25">
        <f t="shared" si="25"/>
        <v>20.65</v>
      </c>
      <c r="W19" s="25">
        <f t="shared" si="25"/>
        <v>20.65</v>
      </c>
      <c r="X19" s="25">
        <f t="shared" si="25"/>
        <v>20.65</v>
      </c>
      <c r="Y19" s="25">
        <f t="shared" si="25"/>
        <v>20.65</v>
      </c>
    </row>
    <row r="20" spans="1:25">
      <c r="A20" s="71"/>
      <c r="B20" s="8" t="str">
        <f xml:space="preserve"> CONCATENATE(Setup!$B$8, ", ", LEFT(Setup!$C$8,2))</f>
        <v>Spencer, SS</v>
      </c>
      <c r="C20" s="25">
        <f t="shared" ref="C20:C22" si="26" xml:space="preserve"> C8 + C14</f>
        <v>2.66</v>
      </c>
      <c r="D20" s="25">
        <f t="shared" ref="D20:S22" si="27" xml:space="preserve"> C20 + D8 + D15</f>
        <v>4.41</v>
      </c>
      <c r="E20" s="25">
        <f t="shared" si="27"/>
        <v>8.91</v>
      </c>
      <c r="F20" s="25">
        <f t="shared" si="27"/>
        <v>9.41</v>
      </c>
      <c r="G20" s="25">
        <f t="shared" si="27"/>
        <v>11.41</v>
      </c>
      <c r="H20" s="25">
        <f t="shared" si="27"/>
        <v>11.41</v>
      </c>
      <c r="I20" s="25">
        <f t="shared" si="27"/>
        <v>11.41</v>
      </c>
      <c r="J20" s="25">
        <f t="shared" si="27"/>
        <v>11.41</v>
      </c>
      <c r="K20" s="25">
        <f t="shared" si="27"/>
        <v>11.41</v>
      </c>
      <c r="L20" s="25">
        <f t="shared" si="27"/>
        <v>11.41</v>
      </c>
      <c r="M20" s="45">
        <f t="shared" si="27"/>
        <v>11.41</v>
      </c>
      <c r="N20" s="46">
        <f t="shared" si="27"/>
        <v>11.41</v>
      </c>
      <c r="O20" s="25">
        <f t="shared" si="27"/>
        <v>11.41</v>
      </c>
      <c r="P20" s="25">
        <f t="shared" si="27"/>
        <v>11.41</v>
      </c>
      <c r="Q20" s="25">
        <f t="shared" si="27"/>
        <v>11.41</v>
      </c>
      <c r="R20" s="25">
        <f t="shared" si="27"/>
        <v>11.41</v>
      </c>
      <c r="S20" s="25">
        <f t="shared" si="27"/>
        <v>11.41</v>
      </c>
      <c r="T20" s="25">
        <f t="shared" si="25"/>
        <v>11.41</v>
      </c>
      <c r="U20" s="25">
        <f t="shared" si="25"/>
        <v>11.41</v>
      </c>
      <c r="V20" s="25">
        <f t="shared" si="25"/>
        <v>11.41</v>
      </c>
      <c r="W20" s="25">
        <f t="shared" si="25"/>
        <v>11.41</v>
      </c>
      <c r="X20" s="25">
        <f t="shared" si="25"/>
        <v>11.41</v>
      </c>
      <c r="Y20" s="25">
        <f t="shared" si="25"/>
        <v>11.41</v>
      </c>
    </row>
    <row r="21" spans="1:25">
      <c r="A21" s="71"/>
      <c r="B21" s="8" t="str">
        <f xml:space="preserve"> CONCATENATE(Setup!$B$9, ", ", LEFT(Setup!$C$9,2))</f>
        <v>Dylan, DW</v>
      </c>
      <c r="C21" s="25">
        <f t="shared" si="26"/>
        <v>1.25</v>
      </c>
      <c r="D21" s="25">
        <f t="shared" si="27"/>
        <v>3</v>
      </c>
      <c r="E21" s="25">
        <f t="shared" si="25"/>
        <v>8</v>
      </c>
      <c r="F21" s="25">
        <f t="shared" si="25"/>
        <v>8</v>
      </c>
      <c r="G21" s="25">
        <f t="shared" si="25"/>
        <v>9</v>
      </c>
      <c r="H21" s="25">
        <f t="shared" si="25"/>
        <v>9</v>
      </c>
      <c r="I21" s="25">
        <f t="shared" si="25"/>
        <v>9</v>
      </c>
      <c r="J21" s="25">
        <f t="shared" si="25"/>
        <v>9</v>
      </c>
      <c r="K21" s="25">
        <f t="shared" si="25"/>
        <v>9</v>
      </c>
      <c r="L21" s="25">
        <f t="shared" si="25"/>
        <v>9</v>
      </c>
      <c r="M21" s="45">
        <f t="shared" si="25"/>
        <v>9</v>
      </c>
      <c r="N21" s="46">
        <f t="shared" si="25"/>
        <v>9</v>
      </c>
      <c r="O21" s="25">
        <f t="shared" si="25"/>
        <v>9</v>
      </c>
      <c r="P21" s="25">
        <f t="shared" si="25"/>
        <v>9</v>
      </c>
      <c r="Q21" s="25">
        <f t="shared" si="25"/>
        <v>9</v>
      </c>
      <c r="R21" s="25">
        <f t="shared" si="25"/>
        <v>9</v>
      </c>
      <c r="S21" s="25">
        <f t="shared" si="25"/>
        <v>9</v>
      </c>
      <c r="T21" s="25">
        <f t="shared" si="25"/>
        <v>9</v>
      </c>
      <c r="U21" s="25">
        <f t="shared" si="25"/>
        <v>9</v>
      </c>
      <c r="V21" s="25">
        <f t="shared" si="25"/>
        <v>9</v>
      </c>
      <c r="W21" s="25">
        <f t="shared" si="25"/>
        <v>9</v>
      </c>
      <c r="X21" s="25">
        <f t="shared" si="25"/>
        <v>9</v>
      </c>
      <c r="Y21" s="25">
        <f t="shared" si="25"/>
        <v>9</v>
      </c>
    </row>
    <row r="22" spans="1:25">
      <c r="A22" s="71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9.75</v>
      </c>
      <c r="E22" s="25">
        <f t="shared" si="25"/>
        <v>18.649999999999999</v>
      </c>
      <c r="F22" s="25">
        <f t="shared" si="25"/>
        <v>28.9</v>
      </c>
      <c r="G22" s="25">
        <f t="shared" si="25"/>
        <v>30.9</v>
      </c>
      <c r="H22" s="25">
        <f t="shared" si="25"/>
        <v>30.9</v>
      </c>
      <c r="I22" s="25">
        <f t="shared" si="25"/>
        <v>30.9</v>
      </c>
      <c r="J22" s="25">
        <f t="shared" si="25"/>
        <v>30.9</v>
      </c>
      <c r="K22" s="25">
        <f t="shared" si="25"/>
        <v>30.9</v>
      </c>
      <c r="L22" s="25">
        <f t="shared" si="25"/>
        <v>30.9</v>
      </c>
      <c r="M22" s="45">
        <f t="shared" si="25"/>
        <v>30.9</v>
      </c>
      <c r="N22" s="46">
        <f t="shared" si="25"/>
        <v>30.9</v>
      </c>
      <c r="O22" s="25">
        <f t="shared" si="25"/>
        <v>30.9</v>
      </c>
      <c r="P22" s="25">
        <f t="shared" si="25"/>
        <v>30.9</v>
      </c>
      <c r="Q22" s="25">
        <f t="shared" si="25"/>
        <v>30.9</v>
      </c>
      <c r="R22" s="25">
        <f t="shared" si="25"/>
        <v>30.9</v>
      </c>
      <c r="S22" s="25">
        <f t="shared" si="25"/>
        <v>30.9</v>
      </c>
      <c r="T22" s="25">
        <f t="shared" si="25"/>
        <v>30.9</v>
      </c>
      <c r="U22" s="25">
        <f t="shared" si="25"/>
        <v>30.9</v>
      </c>
      <c r="V22" s="25">
        <f t="shared" si="25"/>
        <v>30.9</v>
      </c>
      <c r="W22" s="25">
        <f t="shared" si="25"/>
        <v>30.9</v>
      </c>
      <c r="X22" s="25">
        <f t="shared" si="25"/>
        <v>30.9</v>
      </c>
      <c r="Y22" s="25">
        <f t="shared" si="25"/>
        <v>30.9</v>
      </c>
    </row>
    <row r="23" spans="1:25" ht="15">
      <c r="A23" s="71"/>
      <c r="B23" s="9" t="s">
        <v>30</v>
      </c>
      <c r="C23" s="21">
        <f xml:space="preserve"> C11 + C17</f>
        <v>3.91</v>
      </c>
      <c r="D23" s="21">
        <f xml:space="preserve"> C23 + D11 + D17</f>
        <v>15.91</v>
      </c>
      <c r="E23" s="21">
        <f t="shared" ref="E23:Y23" si="28" xml:space="preserve"> D23 + E11 + E17</f>
        <v>30.310000000000002</v>
      </c>
      <c r="F23" s="21">
        <f t="shared" si="28"/>
        <v>40.56</v>
      </c>
      <c r="G23" s="21">
        <f t="shared" si="28"/>
        <v>45.06</v>
      </c>
      <c r="H23" s="21">
        <f t="shared" si="28"/>
        <v>45.06</v>
      </c>
      <c r="I23" s="21">
        <f t="shared" si="28"/>
        <v>45.06</v>
      </c>
      <c r="J23" s="21">
        <f t="shared" si="28"/>
        <v>45.06</v>
      </c>
      <c r="K23" s="21">
        <f t="shared" si="28"/>
        <v>45.06</v>
      </c>
      <c r="L23" s="21">
        <f t="shared" si="28"/>
        <v>45.06</v>
      </c>
      <c r="M23" s="47">
        <f t="shared" si="28"/>
        <v>45.06</v>
      </c>
      <c r="N23" s="48">
        <f t="shared" si="28"/>
        <v>45.06</v>
      </c>
      <c r="O23" s="21">
        <f t="shared" si="28"/>
        <v>45.06</v>
      </c>
      <c r="P23" s="21">
        <f t="shared" si="28"/>
        <v>45.06</v>
      </c>
      <c r="Q23" s="21">
        <f t="shared" si="28"/>
        <v>45.06</v>
      </c>
      <c r="R23" s="21">
        <f t="shared" si="28"/>
        <v>45.06</v>
      </c>
      <c r="S23" s="21">
        <f t="shared" si="28"/>
        <v>45.06</v>
      </c>
      <c r="T23" s="21">
        <f t="shared" si="28"/>
        <v>45.06</v>
      </c>
      <c r="U23" s="21">
        <f t="shared" si="28"/>
        <v>45.06</v>
      </c>
      <c r="V23" s="21">
        <f t="shared" si="28"/>
        <v>45.06</v>
      </c>
      <c r="W23" s="21">
        <f t="shared" si="28"/>
        <v>45.06</v>
      </c>
      <c r="X23" s="21">
        <f t="shared" si="28"/>
        <v>45.06</v>
      </c>
      <c r="Y23" s="21">
        <f t="shared" si="28"/>
        <v>45.06</v>
      </c>
    </row>
    <row r="24" spans="1:25" ht="15">
      <c r="A24" s="19"/>
      <c r="B24" s="20"/>
      <c r="M24" s="49"/>
      <c r="N24" s="50"/>
    </row>
    <row r="25" spans="1:25">
      <c r="A25" s="71" t="s">
        <v>8</v>
      </c>
      <c r="B25" s="8" t="str">
        <f xml:space="preserve"> CONCATENATE(Setup!$B$7, ", ", LEFT(Setup!$C$7,2))</f>
        <v>Nathan, NR</v>
      </c>
      <c r="C25" s="29">
        <f xml:space="preserve"> C19 / C$6</f>
        <v>0</v>
      </c>
      <c r="D25" s="29">
        <f t="shared" ref="D25:E25" si="29" xml:space="preserve"> D19 / D$6</f>
        <v>4.25</v>
      </c>
      <c r="E25" s="29">
        <f t="shared" si="29"/>
        <v>4.4666666666666668</v>
      </c>
      <c r="F25" s="29">
        <f t="shared" ref="F25:Y25" si="30" xml:space="preserve"> F19 / F$6</f>
        <v>4.7874999999999996</v>
      </c>
      <c r="G25" s="29">
        <f t="shared" si="30"/>
        <v>4.13</v>
      </c>
      <c r="H25" s="29">
        <f t="shared" si="30"/>
        <v>3.4416666666666664</v>
      </c>
      <c r="I25" s="29">
        <f t="shared" si="30"/>
        <v>2.9499999999999997</v>
      </c>
      <c r="J25" s="29">
        <f t="shared" si="30"/>
        <v>2.5812499999999998</v>
      </c>
      <c r="K25" s="29">
        <f t="shared" si="30"/>
        <v>2.2944444444444443</v>
      </c>
      <c r="L25" s="29">
        <f t="shared" si="30"/>
        <v>2.0649999999999999</v>
      </c>
      <c r="M25" s="51">
        <f t="shared" si="30"/>
        <v>1.8772727272727272</v>
      </c>
      <c r="N25" s="52">
        <f t="shared" si="30"/>
        <v>1.7208333333333332</v>
      </c>
      <c r="O25" s="29">
        <f t="shared" si="30"/>
        <v>1.5884615384615384</v>
      </c>
      <c r="P25" s="29">
        <f t="shared" si="30"/>
        <v>1.4749999999999999</v>
      </c>
      <c r="Q25" s="29">
        <f t="shared" si="30"/>
        <v>1.3766666666666665</v>
      </c>
      <c r="R25" s="29">
        <f t="shared" si="30"/>
        <v>1.2906249999999999</v>
      </c>
      <c r="S25" s="29">
        <f t="shared" si="30"/>
        <v>1.2147058823529411</v>
      </c>
      <c r="T25" s="29">
        <f t="shared" si="30"/>
        <v>1.1472222222222221</v>
      </c>
      <c r="U25" s="29">
        <f t="shared" si="30"/>
        <v>1.0868421052631578</v>
      </c>
      <c r="V25" s="29">
        <f t="shared" si="30"/>
        <v>1.0325</v>
      </c>
      <c r="W25" s="29">
        <f t="shared" si="30"/>
        <v>0.98333333333333328</v>
      </c>
      <c r="X25" s="29">
        <f t="shared" si="30"/>
        <v>0.9386363636363636</v>
      </c>
      <c r="Y25" s="29">
        <f t="shared" si="30"/>
        <v>0.89782608695652166</v>
      </c>
    </row>
    <row r="26" spans="1:25">
      <c r="A26" s="71"/>
      <c r="B26" s="8" t="str">
        <f xml:space="preserve"> CONCATENATE(Setup!$B$8, ", ", LEFT(Setup!$C$8,2))</f>
        <v>Spencer, SS</v>
      </c>
      <c r="C26" s="29">
        <f t="shared" ref="C26:E29" si="31" xml:space="preserve"> C20 / C$6</f>
        <v>2.66</v>
      </c>
      <c r="D26" s="29">
        <f t="shared" si="31"/>
        <v>2.2050000000000001</v>
      </c>
      <c r="E26" s="29">
        <f t="shared" si="31"/>
        <v>2.97</v>
      </c>
      <c r="F26" s="29">
        <f t="shared" ref="F26:Y26" si="32" xml:space="preserve"> F20 / F$6</f>
        <v>2.3525</v>
      </c>
      <c r="G26" s="29">
        <f t="shared" si="32"/>
        <v>2.282</v>
      </c>
      <c r="H26" s="29">
        <f t="shared" si="32"/>
        <v>1.9016666666666666</v>
      </c>
      <c r="I26" s="29">
        <f t="shared" si="32"/>
        <v>1.6300000000000001</v>
      </c>
      <c r="J26" s="29">
        <f t="shared" si="32"/>
        <v>1.42625</v>
      </c>
      <c r="K26" s="29">
        <f t="shared" si="32"/>
        <v>1.2677777777777779</v>
      </c>
      <c r="L26" s="29">
        <f t="shared" si="32"/>
        <v>1.141</v>
      </c>
      <c r="M26" s="51">
        <f t="shared" si="32"/>
        <v>1.0372727272727273</v>
      </c>
      <c r="N26" s="52">
        <f t="shared" si="32"/>
        <v>0.95083333333333331</v>
      </c>
      <c r="O26" s="29">
        <f t="shared" si="32"/>
        <v>0.87769230769230766</v>
      </c>
      <c r="P26" s="29">
        <f t="shared" si="32"/>
        <v>0.81500000000000006</v>
      </c>
      <c r="Q26" s="29">
        <f t="shared" si="32"/>
        <v>0.76066666666666671</v>
      </c>
      <c r="R26" s="29">
        <f t="shared" si="32"/>
        <v>0.71312500000000001</v>
      </c>
      <c r="S26" s="29">
        <f t="shared" si="32"/>
        <v>0.67117647058823526</v>
      </c>
      <c r="T26" s="29">
        <f t="shared" si="32"/>
        <v>0.63388888888888895</v>
      </c>
      <c r="U26" s="29">
        <f t="shared" si="32"/>
        <v>0.60052631578947369</v>
      </c>
      <c r="V26" s="29">
        <f t="shared" si="32"/>
        <v>0.57050000000000001</v>
      </c>
      <c r="W26" s="29">
        <f t="shared" si="32"/>
        <v>0.54333333333333333</v>
      </c>
      <c r="X26" s="29">
        <f t="shared" si="32"/>
        <v>0.51863636363636367</v>
      </c>
      <c r="Y26" s="29">
        <f t="shared" si="32"/>
        <v>0.49608695652173912</v>
      </c>
    </row>
    <row r="27" spans="1:25">
      <c r="A27" s="71"/>
      <c r="B27" s="8" t="str">
        <f xml:space="preserve"> CONCATENATE(Setup!$B$9, ", ", LEFT(Setup!$C$9,2))</f>
        <v>Dylan, DW</v>
      </c>
      <c r="C27" s="29">
        <f t="shared" si="31"/>
        <v>1.25</v>
      </c>
      <c r="D27" s="29">
        <f t="shared" si="31"/>
        <v>1.5</v>
      </c>
      <c r="E27" s="29">
        <f t="shared" si="31"/>
        <v>2.6666666666666665</v>
      </c>
      <c r="F27" s="29">
        <f t="shared" ref="F27:Y27" si="33" xml:space="preserve"> F21 / F$6</f>
        <v>2</v>
      </c>
      <c r="G27" s="29">
        <f t="shared" si="33"/>
        <v>1.8</v>
      </c>
      <c r="H27" s="29">
        <f t="shared" si="33"/>
        <v>1.5</v>
      </c>
      <c r="I27" s="29">
        <f t="shared" si="33"/>
        <v>1.2857142857142858</v>
      </c>
      <c r="J27" s="29">
        <f t="shared" si="33"/>
        <v>1.125</v>
      </c>
      <c r="K27" s="29">
        <f t="shared" si="33"/>
        <v>1</v>
      </c>
      <c r="L27" s="29">
        <f t="shared" si="33"/>
        <v>0.9</v>
      </c>
      <c r="M27" s="51">
        <f t="shared" si="33"/>
        <v>0.81818181818181823</v>
      </c>
      <c r="N27" s="52">
        <f t="shared" si="33"/>
        <v>0.75</v>
      </c>
      <c r="O27" s="29">
        <f t="shared" si="33"/>
        <v>0.69230769230769229</v>
      </c>
      <c r="P27" s="29">
        <f t="shared" si="33"/>
        <v>0.6428571428571429</v>
      </c>
      <c r="Q27" s="29">
        <f t="shared" si="33"/>
        <v>0.6</v>
      </c>
      <c r="R27" s="29">
        <f t="shared" si="33"/>
        <v>0.5625</v>
      </c>
      <c r="S27" s="29">
        <f t="shared" si="33"/>
        <v>0.52941176470588236</v>
      </c>
      <c r="T27" s="29">
        <f t="shared" si="33"/>
        <v>0.5</v>
      </c>
      <c r="U27" s="29">
        <f t="shared" si="33"/>
        <v>0.47368421052631576</v>
      </c>
      <c r="V27" s="29">
        <f t="shared" si="33"/>
        <v>0.45</v>
      </c>
      <c r="W27" s="29">
        <f t="shared" si="33"/>
        <v>0.42857142857142855</v>
      </c>
      <c r="X27" s="29">
        <f t="shared" si="33"/>
        <v>0.40909090909090912</v>
      </c>
      <c r="Y27" s="29">
        <f t="shared" si="33"/>
        <v>0.39130434782608697</v>
      </c>
    </row>
    <row r="28" spans="1:25">
      <c r="A28" s="71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4.875</v>
      </c>
      <c r="E28" s="29">
        <f t="shared" si="31"/>
        <v>6.2166666666666659</v>
      </c>
      <c r="F28" s="29">
        <f t="shared" ref="F28:Y28" si="34" xml:space="preserve"> F22 / F$6</f>
        <v>7.2249999999999996</v>
      </c>
      <c r="G28" s="29">
        <f t="shared" si="34"/>
        <v>6.18</v>
      </c>
      <c r="H28" s="29">
        <f t="shared" si="34"/>
        <v>5.1499999999999995</v>
      </c>
      <c r="I28" s="29">
        <f t="shared" si="34"/>
        <v>4.4142857142857137</v>
      </c>
      <c r="J28" s="29">
        <f t="shared" si="34"/>
        <v>3.8624999999999998</v>
      </c>
      <c r="K28" s="29">
        <f t="shared" si="34"/>
        <v>3.4333333333333331</v>
      </c>
      <c r="L28" s="29">
        <f t="shared" si="34"/>
        <v>3.09</v>
      </c>
      <c r="M28" s="51">
        <f t="shared" si="34"/>
        <v>2.8090909090909091</v>
      </c>
      <c r="N28" s="52">
        <f t="shared" si="34"/>
        <v>2.5749999999999997</v>
      </c>
      <c r="O28" s="29">
        <f t="shared" si="34"/>
        <v>2.3769230769230769</v>
      </c>
      <c r="P28" s="29">
        <f t="shared" si="34"/>
        <v>2.2071428571428569</v>
      </c>
      <c r="Q28" s="29">
        <f t="shared" si="34"/>
        <v>2.06</v>
      </c>
      <c r="R28" s="29">
        <f t="shared" si="34"/>
        <v>1.9312499999999999</v>
      </c>
      <c r="S28" s="29">
        <f t="shared" si="34"/>
        <v>1.8176470588235294</v>
      </c>
      <c r="T28" s="29">
        <f t="shared" si="34"/>
        <v>1.7166666666666666</v>
      </c>
      <c r="U28" s="29">
        <f t="shared" si="34"/>
        <v>1.6263157894736842</v>
      </c>
      <c r="V28" s="29">
        <f t="shared" si="34"/>
        <v>1.5449999999999999</v>
      </c>
      <c r="W28" s="29">
        <f t="shared" si="34"/>
        <v>1.4714285714285713</v>
      </c>
      <c r="X28" s="29">
        <f t="shared" si="34"/>
        <v>1.4045454545454545</v>
      </c>
      <c r="Y28" s="29">
        <f t="shared" si="34"/>
        <v>1.3434782608695652</v>
      </c>
    </row>
    <row r="29" spans="1:25" ht="15">
      <c r="A29" s="71"/>
      <c r="B29" s="9" t="s">
        <v>30</v>
      </c>
      <c r="C29" s="30">
        <f t="shared" si="31"/>
        <v>3.91</v>
      </c>
      <c r="D29" s="30">
        <f t="shared" si="31"/>
        <v>7.9550000000000001</v>
      </c>
      <c r="E29" s="30">
        <f t="shared" si="31"/>
        <v>10.103333333333333</v>
      </c>
      <c r="F29" s="30">
        <f t="shared" ref="F29:Y29" si="35" xml:space="preserve"> F23 / F$6</f>
        <v>10.14</v>
      </c>
      <c r="G29" s="30">
        <f t="shared" si="35"/>
        <v>9.0120000000000005</v>
      </c>
      <c r="H29" s="30">
        <f t="shared" si="35"/>
        <v>7.5100000000000007</v>
      </c>
      <c r="I29" s="30">
        <f t="shared" si="35"/>
        <v>6.4371428571428577</v>
      </c>
      <c r="J29" s="30">
        <f t="shared" si="35"/>
        <v>5.6325000000000003</v>
      </c>
      <c r="K29" s="30">
        <f t="shared" si="35"/>
        <v>5.0066666666666668</v>
      </c>
      <c r="L29" s="30">
        <f t="shared" si="35"/>
        <v>4.5060000000000002</v>
      </c>
      <c r="M29" s="53">
        <f t="shared" si="35"/>
        <v>4.0963636363636367</v>
      </c>
      <c r="N29" s="54">
        <f t="shared" si="35"/>
        <v>3.7550000000000003</v>
      </c>
      <c r="O29" s="30">
        <f t="shared" si="35"/>
        <v>3.4661538461538464</v>
      </c>
      <c r="P29" s="30">
        <f t="shared" si="35"/>
        <v>3.2185714285714289</v>
      </c>
      <c r="Q29" s="30">
        <f t="shared" si="35"/>
        <v>3.004</v>
      </c>
      <c r="R29" s="30">
        <f t="shared" si="35"/>
        <v>2.8162500000000001</v>
      </c>
      <c r="S29" s="30">
        <f t="shared" si="35"/>
        <v>2.6505882352941179</v>
      </c>
      <c r="T29" s="30">
        <f t="shared" si="35"/>
        <v>2.5033333333333334</v>
      </c>
      <c r="U29" s="30">
        <f t="shared" si="35"/>
        <v>2.371578947368421</v>
      </c>
      <c r="V29" s="30">
        <f t="shared" si="35"/>
        <v>2.2530000000000001</v>
      </c>
      <c r="W29" s="30">
        <f t="shared" si="35"/>
        <v>2.1457142857142859</v>
      </c>
      <c r="X29" s="30">
        <f t="shared" si="35"/>
        <v>2.0481818181818183</v>
      </c>
      <c r="Y29" s="30">
        <f t="shared" si="35"/>
        <v>1.9591304347826088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W47"/>
  <sheetViews>
    <sheetView tabSelected="1" workbookViewId="0">
      <selection activeCell="AA13" sqref="AA13"/>
    </sheetView>
  </sheetViews>
  <sheetFormatPr baseColWidth="10" defaultColWidth="8.83203125" defaultRowHeight="14" x14ac:dyDescent="0"/>
  <cols>
    <col min="2" max="2" width="15.6640625" customWidth="1"/>
  </cols>
  <sheetData>
    <row r="1" spans="1:23" ht="18">
      <c r="C1" s="14" t="s">
        <v>29</v>
      </c>
    </row>
    <row r="2" spans="1:23" ht="18">
      <c r="B2" s="23" t="e">
        <f>SheetName</f>
        <v>#N/A</v>
      </c>
      <c r="C2" s="27" t="s">
        <v>38</v>
      </c>
    </row>
    <row r="3" spans="1:23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" thickBot="1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" thickBot="1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60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" thickTop="1" thickBot="1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" thickTop="1" thickBot="1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60">
        <v>0</v>
      </c>
      <c r="J8" s="61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60">
        <v>0</v>
      </c>
      <c r="Q8" s="68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" thickTop="1" thickBot="1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" thickBot="1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1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1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3</v>
      </c>
      <c r="R10" s="21">
        <f t="shared" si="1"/>
        <v>0.5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" thickBot="1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  <c r="Q12" s="65">
        <f t="shared" si="2"/>
        <v>0</v>
      </c>
      <c r="R12" s="22">
        <f t="shared" si="2"/>
        <v>0</v>
      </c>
      <c r="S12" s="22">
        <f t="shared" si="2"/>
        <v>0</v>
      </c>
      <c r="T12" s="22">
        <f t="shared" si="2"/>
        <v>0</v>
      </c>
      <c r="U12" s="22">
        <f t="shared" si="2"/>
        <v>0</v>
      </c>
      <c r="V12" s="22">
        <f t="shared" si="2"/>
        <v>0</v>
      </c>
      <c r="W12" s="22">
        <f t="shared" si="2"/>
        <v>0</v>
      </c>
    </row>
    <row r="13" spans="1:23" ht="15" thickBot="1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4">
        <f t="shared" si="3"/>
        <v>0.5</v>
      </c>
      <c r="Q13" s="65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" thickBot="1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4">
        <f t="shared" si="4"/>
        <v>1</v>
      </c>
      <c r="J14" s="65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4">
        <f t="shared" si="4"/>
        <v>2.75</v>
      </c>
      <c r="Q14" s="65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" thickBot="1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" thickBot="1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1</v>
      </c>
      <c r="G16" s="21">
        <f t="shared" si="6"/>
        <v>1</v>
      </c>
      <c r="H16" s="21">
        <f t="shared" si="6"/>
        <v>1</v>
      </c>
      <c r="I16" s="62">
        <f t="shared" si="6"/>
        <v>1</v>
      </c>
      <c r="J16" s="63">
        <f t="shared" si="6"/>
        <v>1</v>
      </c>
      <c r="K16" s="21">
        <f t="shared" si="6"/>
        <v>2</v>
      </c>
      <c r="L16" s="21">
        <f t="shared" si="6"/>
        <v>3</v>
      </c>
      <c r="M16" s="21">
        <f t="shared" si="6"/>
        <v>3.25</v>
      </c>
      <c r="N16" s="21">
        <f t="shared" si="6"/>
        <v>3.25</v>
      </c>
      <c r="O16" s="21">
        <f t="shared" si="6"/>
        <v>3.25</v>
      </c>
      <c r="P16" s="62">
        <f t="shared" si="6"/>
        <v>3.25</v>
      </c>
      <c r="Q16" s="63">
        <f t="shared" si="6"/>
        <v>6.25</v>
      </c>
      <c r="R16" s="21">
        <f t="shared" si="6"/>
        <v>6.75</v>
      </c>
      <c r="S16" s="21">
        <f t="shared" si="6"/>
        <v>7.75</v>
      </c>
      <c r="T16" s="21">
        <f t="shared" si="6"/>
        <v>8.25</v>
      </c>
      <c r="U16" s="21">
        <f t="shared" si="6"/>
        <v>8.25</v>
      </c>
      <c r="V16" s="21">
        <f t="shared" si="6"/>
        <v>8.75</v>
      </c>
      <c r="W16" s="21">
        <f t="shared" si="6"/>
        <v>8.75</v>
      </c>
    </row>
    <row r="17" spans="1:23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  <c r="Q18" s="67">
        <v>0</v>
      </c>
      <c r="R18" s="35">
        <v>0</v>
      </c>
      <c r="S18" s="35">
        <v>0</v>
      </c>
      <c r="T18" s="35">
        <v>0</v>
      </c>
      <c r="U18" s="35">
        <v>0</v>
      </c>
      <c r="V18" s="35">
        <v>0</v>
      </c>
      <c r="W18" s="37">
        <v>0</v>
      </c>
    </row>
    <row r="19" spans="1:23" ht="16" thickTop="1" thickBot="1">
      <c r="A19" s="85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60">
        <v>0</v>
      </c>
      <c r="J19" s="61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60">
        <v>2.5</v>
      </c>
      <c r="Q19" s="68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" thickTop="1" thickBot="1">
      <c r="A20" s="85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60">
        <v>0</v>
      </c>
      <c r="Q20" s="68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" thickTop="1" thickBot="1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" thickBot="1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1.75</v>
      </c>
      <c r="N22" s="21">
        <f t="shared" si="7"/>
        <v>0</v>
      </c>
      <c r="O22" s="21">
        <f t="shared" si="7"/>
        <v>0</v>
      </c>
      <c r="P22" s="62">
        <f t="shared" si="7"/>
        <v>2.5</v>
      </c>
      <c r="Q22" s="63">
        <f t="shared" si="7"/>
        <v>2.9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0.5</v>
      </c>
      <c r="W22" s="21">
        <f t="shared" si="7"/>
        <v>0</v>
      </c>
    </row>
    <row r="23" spans="1:23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4">
        <f t="shared" si="9"/>
        <v>0</v>
      </c>
      <c r="Q24" s="65">
        <f t="shared" si="9"/>
        <v>0</v>
      </c>
      <c r="R24" s="22">
        <f t="shared" si="9"/>
        <v>0</v>
      </c>
      <c r="S24" s="22">
        <f t="shared" si="9"/>
        <v>0</v>
      </c>
      <c r="T24" s="22">
        <f t="shared" si="9"/>
        <v>0</v>
      </c>
      <c r="U24" s="22">
        <f t="shared" si="9"/>
        <v>0</v>
      </c>
      <c r="V24" s="22">
        <f t="shared" si="9"/>
        <v>0</v>
      </c>
      <c r="W24" s="22">
        <f t="shared" si="9"/>
        <v>0</v>
      </c>
    </row>
    <row r="25" spans="1:23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4">
        <f t="shared" si="10"/>
        <v>2.66</v>
      </c>
      <c r="J25" s="65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4">
        <f t="shared" si="11"/>
        <v>11.16</v>
      </c>
      <c r="Q25" s="65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4">
        <f t="shared" si="12"/>
        <v>0.25</v>
      </c>
      <c r="J26" s="65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4">
        <f t="shared" si="13"/>
        <v>1.5</v>
      </c>
      <c r="Q26" s="65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" thickBot="1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2">
        <f t="shared" si="16"/>
        <v>2.91</v>
      </c>
      <c r="J28" s="63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10.16</v>
      </c>
      <c r="N28" s="21">
        <f t="shared" si="16"/>
        <v>10.16</v>
      </c>
      <c r="O28" s="21">
        <f t="shared" si="16"/>
        <v>10.16</v>
      </c>
      <c r="P28" s="62">
        <f t="shared" si="16"/>
        <v>12.66</v>
      </c>
      <c r="Q28" s="63">
        <f t="shared" si="16"/>
        <v>15.56</v>
      </c>
      <c r="R28" s="21">
        <f t="shared" si="16"/>
        <v>18.060000000000002</v>
      </c>
      <c r="S28" s="21">
        <f t="shared" si="16"/>
        <v>19.060000000000002</v>
      </c>
      <c r="T28" s="21">
        <f t="shared" si="16"/>
        <v>21.060000000000002</v>
      </c>
      <c r="U28" s="21">
        <f t="shared" si="16"/>
        <v>21.060000000000002</v>
      </c>
      <c r="V28" s="21">
        <f t="shared" si="16"/>
        <v>21.560000000000002</v>
      </c>
      <c r="W28" s="21">
        <f t="shared" si="16"/>
        <v>21.560000000000002</v>
      </c>
    </row>
    <row r="29" spans="1:23" ht="16" thickBot="1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</v>
      </c>
      <c r="G30" s="22">
        <f t="shared" si="17"/>
        <v>0</v>
      </c>
      <c r="H30" s="22">
        <f t="shared" si="17"/>
        <v>0</v>
      </c>
      <c r="I30" s="64">
        <f t="shared" si="17"/>
        <v>0</v>
      </c>
      <c r="J30" s="65">
        <f t="shared" si="17"/>
        <v>0</v>
      </c>
      <c r="K30" s="22">
        <f t="shared" si="17"/>
        <v>0</v>
      </c>
      <c r="L30" s="22">
        <f t="shared" si="17"/>
        <v>0</v>
      </c>
      <c r="M30" s="22">
        <f t="shared" si="17"/>
        <v>0</v>
      </c>
      <c r="N30" s="22">
        <f t="shared" si="17"/>
        <v>0</v>
      </c>
      <c r="O30" s="22">
        <f t="shared" si="17"/>
        <v>0</v>
      </c>
      <c r="P30" s="64">
        <f t="shared" si="17"/>
        <v>0</v>
      </c>
      <c r="Q30" s="65">
        <f t="shared" si="17"/>
        <v>0</v>
      </c>
      <c r="R30" s="22">
        <f t="shared" si="17"/>
        <v>0</v>
      </c>
      <c r="S30" s="22">
        <f t="shared" si="17"/>
        <v>0</v>
      </c>
      <c r="T30" s="22">
        <f t="shared" si="17"/>
        <v>0</v>
      </c>
      <c r="U30" s="22">
        <f t="shared" si="17"/>
        <v>0</v>
      </c>
      <c r="V30" s="22">
        <f t="shared" si="17"/>
        <v>0</v>
      </c>
      <c r="W30" s="22">
        <f t="shared" si="17"/>
        <v>0</v>
      </c>
    </row>
    <row r="31" spans="1:23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4">
        <f t="shared" si="18"/>
        <v>0.38</v>
      </c>
      <c r="J31" s="65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4">
        <f t="shared" si="18"/>
        <v>0.83285714285714285</v>
      </c>
      <c r="Q31" s="65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4">
        <f t="shared" si="19"/>
        <v>0.17857142857142858</v>
      </c>
      <c r="J32" s="65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4">
        <f t="shared" si="19"/>
        <v>0.30357142857142855</v>
      </c>
      <c r="Q32" s="65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" thickBot="1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0.97750000000000004</v>
      </c>
      <c r="G34" s="21">
        <f t="shared" si="21"/>
        <v>0.78200000000000003</v>
      </c>
      <c r="H34" s="21">
        <f t="shared" si="21"/>
        <v>0.65166666666666673</v>
      </c>
      <c r="I34" s="62">
        <f t="shared" si="21"/>
        <v>0.55857142857142861</v>
      </c>
      <c r="J34" s="63">
        <f t="shared" si="21"/>
        <v>0.48875000000000002</v>
      </c>
      <c r="K34" s="21">
        <f t="shared" si="21"/>
        <v>0.82333333333333336</v>
      </c>
      <c r="L34" s="21">
        <f t="shared" si="21"/>
        <v>1.141</v>
      </c>
      <c r="M34" s="21">
        <f t="shared" si="21"/>
        <v>1.2190909090909092</v>
      </c>
      <c r="N34" s="21">
        <f t="shared" si="21"/>
        <v>1.1174999999999999</v>
      </c>
      <c r="O34" s="21">
        <f t="shared" si="21"/>
        <v>1.0315384615384615</v>
      </c>
      <c r="P34" s="62">
        <f t="shared" si="21"/>
        <v>1.1364285714285713</v>
      </c>
      <c r="Q34" s="63">
        <f t="shared" si="21"/>
        <v>1.4540000000000002</v>
      </c>
      <c r="R34" s="21">
        <f t="shared" si="21"/>
        <v>1.5506250000000001</v>
      </c>
      <c r="S34" s="21">
        <f t="shared" si="21"/>
        <v>1.5770588235294118</v>
      </c>
      <c r="T34" s="21">
        <f t="shared" si="21"/>
        <v>1.6283333333333334</v>
      </c>
      <c r="U34" s="21">
        <f t="shared" si="21"/>
        <v>1.5426315789473686</v>
      </c>
      <c r="V34" s="21">
        <f t="shared" si="21"/>
        <v>1.5155000000000001</v>
      </c>
      <c r="W34" s="21">
        <f t="shared" si="21"/>
        <v>1.4433333333333334</v>
      </c>
    </row>
    <row r="35" spans="1:23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" thickBot="1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SUM(Q6:W6) + SUM(Q18:W18)</f>
        <v>0</v>
      </c>
      <c r="F37" s="25">
        <f xml:space="preserve"> SUM(C37:E37)</f>
        <v>0</v>
      </c>
    </row>
    <row r="38" spans="1:23" ht="15" thickBot="1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" thickBot="1">
      <c r="A39" s="81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" thickBot="1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" thickBot="1">
      <c r="A41" s="81"/>
      <c r="B41" s="18" t="s">
        <v>30</v>
      </c>
      <c r="C41" s="21">
        <f xml:space="preserve"> SUM(C37:C40)</f>
        <v>3.91</v>
      </c>
      <c r="D41" s="21">
        <f t="shared" ref="D41:E41" si="26" xml:space="preserve"> SUM(D37:D40)</f>
        <v>12</v>
      </c>
      <c r="E41" s="21">
        <f t="shared" si="26"/>
        <v>14.4</v>
      </c>
      <c r="F41" s="21">
        <f t="shared" si="25"/>
        <v>30.310000000000002</v>
      </c>
    </row>
    <row r="42" spans="1:23" ht="15" thickBot="1">
      <c r="A42" s="19"/>
    </row>
    <row r="43" spans="1:23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0</v>
      </c>
      <c r="D43" s="25">
        <f xml:space="preserve"> SUM(C37:D37) / D$36</f>
        <v>0</v>
      </c>
      <c r="E43" s="25">
        <f xml:space="preserve"> SUM(C37:E37) / E$36</f>
        <v>0</v>
      </c>
    </row>
    <row r="44" spans="1:23" ht="15" thickBot="1">
      <c r="A44" s="81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" thickBot="1">
      <c r="A45" s="81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" thickBot="1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" thickBot="1">
      <c r="A47" s="81"/>
      <c r="B47" s="18" t="s">
        <v>30</v>
      </c>
      <c r="C47" s="21">
        <f xml:space="preserve"> SUM(C43:C46)</f>
        <v>3.91</v>
      </c>
      <c r="D47" s="21">
        <f t="shared" ref="D47:E47" si="29" xml:space="preserve"> SUM(D43:D46)</f>
        <v>7.9550000000000001</v>
      </c>
      <c r="E47" s="21">
        <f t="shared" si="29"/>
        <v>10.103333333333335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2" zoomScale="115" zoomScaleNormal="115" zoomScalePageLayoutView="115" workbookViewId="0">
      <selection activeCell="N20" sqref="N20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1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2.5</v>
      </c>
      <c r="J10" s="63">
        <f t="shared" si="1"/>
        <v>0</v>
      </c>
      <c r="K10" s="21">
        <f t="shared" si="1"/>
        <v>1.5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1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4">
        <f t="shared" si="3"/>
        <v>0.5</v>
      </c>
      <c r="J13" s="65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4">
        <f t="shared" si="3"/>
        <v>2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4">
        <f t="shared" si="4"/>
        <v>3</v>
      </c>
      <c r="J14" s="65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4">
        <f t="shared" si="4"/>
        <v>4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</v>
      </c>
      <c r="E16" s="21">
        <f t="shared" si="6"/>
        <v>1</v>
      </c>
      <c r="F16" s="21">
        <f t="shared" si="6"/>
        <v>1</v>
      </c>
      <c r="G16" s="21">
        <f t="shared" si="6"/>
        <v>1</v>
      </c>
      <c r="H16" s="21">
        <f t="shared" si="6"/>
        <v>1</v>
      </c>
      <c r="I16" s="62">
        <f t="shared" si="6"/>
        <v>3.5</v>
      </c>
      <c r="J16" s="63">
        <f t="shared" si="6"/>
        <v>3.5</v>
      </c>
      <c r="K16" s="21">
        <f t="shared" si="6"/>
        <v>5</v>
      </c>
      <c r="L16" s="21">
        <f t="shared" si="6"/>
        <v>5</v>
      </c>
      <c r="M16" s="21">
        <f t="shared" si="6"/>
        <v>5</v>
      </c>
      <c r="N16" s="21">
        <f t="shared" si="6"/>
        <v>5</v>
      </c>
      <c r="O16" s="21">
        <f t="shared" si="6"/>
        <v>5</v>
      </c>
      <c r="P16" s="62">
        <f t="shared" si="6"/>
        <v>6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1.5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1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2">
        <f t="shared" si="7"/>
        <v>1</v>
      </c>
      <c r="J22" s="63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1.5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4">
        <f t="shared" si="9"/>
        <v>5.75</v>
      </c>
      <c r="J25" s="65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4">
        <f t="shared" si="9"/>
        <v>7.25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0.5</v>
      </c>
      <c r="J26" s="65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4">
        <f t="shared" si="10"/>
        <v>1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2">
        <f t="shared" si="12"/>
        <v>6.25</v>
      </c>
      <c r="J28" s="63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2">
        <f t="shared" si="12"/>
        <v>8.25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4">
        <f t="shared" si="14"/>
        <v>0.8928571428571429</v>
      </c>
      <c r="J31" s="65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4">
        <f t="shared" si="14"/>
        <v>0.6607142857142857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4">
        <f t="shared" si="15"/>
        <v>0.5</v>
      </c>
      <c r="J32" s="65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4">
        <f t="shared" si="15"/>
        <v>0.35714285714285715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2.875</v>
      </c>
      <c r="E34" s="21">
        <f t="shared" si="17"/>
        <v>1.9166666666666667</v>
      </c>
      <c r="F34" s="21">
        <f t="shared" si="17"/>
        <v>1.5625</v>
      </c>
      <c r="G34" s="21">
        <f t="shared" si="17"/>
        <v>1.25</v>
      </c>
      <c r="H34" s="21">
        <f t="shared" si="17"/>
        <v>1.0416666666666667</v>
      </c>
      <c r="I34" s="62">
        <f t="shared" si="17"/>
        <v>1.3928571428571428</v>
      </c>
      <c r="J34" s="63">
        <f t="shared" si="17"/>
        <v>1.21875</v>
      </c>
      <c r="K34" s="21">
        <f t="shared" si="17"/>
        <v>1.25</v>
      </c>
      <c r="L34" s="21">
        <f t="shared" si="17"/>
        <v>1.175</v>
      </c>
      <c r="M34" s="21">
        <f t="shared" si="17"/>
        <v>1.0681818181818183</v>
      </c>
      <c r="N34" s="21">
        <f t="shared" si="17"/>
        <v>0.97916666666666674</v>
      </c>
      <c r="O34" s="21">
        <f t="shared" si="17"/>
        <v>0.90384615384615385</v>
      </c>
      <c r="P34" s="62">
        <f t="shared" si="17"/>
        <v>1.0178571428571428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9.75</v>
      </c>
      <c r="D41" s="21">
        <f t="shared" ref="D41" si="20" xml:space="preserve"> SUM(D37:D40)</f>
        <v>4.5</v>
      </c>
      <c r="E41" s="21">
        <f xml:space="preserve"> SUM(C41:D41)</f>
        <v>14.25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9.75</v>
      </c>
      <c r="D47" s="21">
        <f t="shared" ref="D47" si="23" xml:space="preserve"> SUM(D43:D46)</f>
        <v>7.125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37" sqref="C37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R15" sqref="R15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t="shared" ref="C10:P10" si="1" xml:space="preserve"> SUM(C6:C9)</f>
        <v>0</v>
      </c>
      <c r="D10" s="21">
        <f t="shared" si="1"/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</v>
      </c>
      <c r="D30" s="22">
        <f t="shared" si="13"/>
        <v>0</v>
      </c>
      <c r="E30" s="22">
        <f t="shared" si="13"/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0</v>
      </c>
      <c r="E31" s="22">
        <f t="shared" si="14"/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0</v>
      </c>
      <c r="E32" s="22">
        <f t="shared" si="15"/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18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19" xml:space="preserve"> C38 / C$36</f>
        <v>0</v>
      </c>
      <c r="D44" s="25">
        <f t="shared" ref="D44:D46" si="20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19"/>
        <v>0</v>
      </c>
      <c r="D45" s="25">
        <f t="shared" si="20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1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0" sqref="C40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C9"/>
  <sheetViews>
    <sheetView workbookViewId="0">
      <selection activeCell="F20" sqref="F20"/>
    </sheetView>
  </sheetViews>
  <sheetFormatPr baseColWidth="10" defaultColWidth="8.83203125" defaultRowHeight="14" x14ac:dyDescent="0"/>
  <cols>
    <col min="1" max="1" width="17.6640625" bestFit="1" customWidth="1"/>
    <col min="2" max="2" width="14.33203125" customWidth="1"/>
  </cols>
  <sheetData>
    <row r="1" spans="1:3" ht="18">
      <c r="B1" s="14" t="s">
        <v>26</v>
      </c>
    </row>
    <row r="3" spans="1:3">
      <c r="A3" s="3" t="s">
        <v>1</v>
      </c>
      <c r="B3" s="40">
        <v>42254</v>
      </c>
    </row>
    <row r="4" spans="1:3">
      <c r="A4" s="3" t="s">
        <v>25</v>
      </c>
      <c r="B4" s="40">
        <v>42380</v>
      </c>
    </row>
    <row r="5" spans="1:3">
      <c r="A5" s="3"/>
    </row>
    <row r="6" spans="1:3" ht="15" thickBot="1">
      <c r="B6" s="2" t="s">
        <v>0</v>
      </c>
      <c r="C6" s="2" t="s">
        <v>28</v>
      </c>
    </row>
    <row r="7" spans="1:3" ht="15" thickBot="1">
      <c r="A7" s="3" t="s">
        <v>2</v>
      </c>
      <c r="B7" s="13" t="s">
        <v>46</v>
      </c>
      <c r="C7" s="16" t="s">
        <v>47</v>
      </c>
    </row>
    <row r="8" spans="1:3" ht="15" thickBot="1">
      <c r="A8" s="3" t="s">
        <v>3</v>
      </c>
      <c r="B8" s="13" t="s">
        <v>48</v>
      </c>
      <c r="C8" s="16" t="s">
        <v>49</v>
      </c>
    </row>
    <row r="9" spans="1:3" ht="15" thickBot="1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2015-10-12T18:25:13Z</dcterms:modified>
</cp:coreProperties>
</file>
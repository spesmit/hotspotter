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9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0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6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7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8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3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4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8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9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0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1.xml" ContentType="application/vnd.openxmlformats-officedocument.drawingml.chartshapes+xml"/>
  <Override PartName="/xl/drawings/drawing4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3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4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5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6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7.xml" ContentType="application/vnd.openxmlformats-officedocument.drawingml.chartshapes+xml"/>
  <Override PartName="/xl/drawings/drawing4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9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50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51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52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53.xml" ContentType="application/vnd.openxmlformats-officedocument.drawingml.chartshapes+xml"/>
  <Override PartName="/xl/drawings/drawing54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55.xml" ContentType="application/vnd.openxmlformats-officedocument.drawingml.chartshape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56.xml" ContentType="application/vnd.openxmlformats-officedocument.drawingml.chartshap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7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8.xml" ContentType="application/vnd.openxmlformats-officedocument.drawingml.chartshape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9.xml" ContentType="application/vnd.openxmlformats-officedocument.drawingml.chartshapes+xml"/>
  <Override PartName="/xl/drawings/drawing60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61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62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63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64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65.xml" ContentType="application/vnd.openxmlformats-officedocument.drawingml.chartshapes+xml"/>
  <Override PartName="/xl/drawings/drawing66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67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68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69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70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71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autoCompressPictures="0" defaultThemeVersion="124226"/>
  <bookViews>
    <workbookView xWindow="13635" yWindow="-21615" windowWidth="38400" windowHeight="21135" tabRatio="695" activeTab="4"/>
  </bookViews>
  <sheets>
    <sheet name="Product" sheetId="1" r:id="rId1"/>
    <sheet name="Sprint 0" sheetId="2" r:id="rId2"/>
    <sheet name="Sprint 1" sheetId="15" r:id="rId3"/>
    <sheet name="Sprint 2" sheetId="42" r:id="rId4"/>
    <sheet name="Sprint 3" sheetId="43" r:id="rId5"/>
    <sheet name="Sprint 4" sheetId="44" r:id="rId6"/>
    <sheet name="Sprint 5" sheetId="45" r:id="rId7"/>
    <sheet name="Sprint 6" sheetId="46" r:id="rId8"/>
    <sheet name="Sprint 7" sheetId="47" r:id="rId9"/>
    <sheet name="Sprint 8" sheetId="48" r:id="rId10"/>
    <sheet name="Sprint 9" sheetId="49" r:id="rId11"/>
    <sheet name="Sprint 10" sheetId="50" r:id="rId12"/>
    <sheet name="Setup" sheetId="13" r:id="rId13"/>
  </sheets>
  <definedNames>
    <definedName name="SheetName">REPLACE(GET.DOCUMENT(1),1,FIND("]",GET.DOCUMENT(1)),"")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2" l="1"/>
  <c r="C4" i="43"/>
  <c r="B2" i="43"/>
  <c r="B2" i="42"/>
  <c r="C4" i="42"/>
  <c r="C4" i="15"/>
  <c r="D4" i="42"/>
  <c r="F8" i="1"/>
  <c r="F9" i="1"/>
  <c r="F10" i="1"/>
  <c r="B9" i="43"/>
  <c r="X14" i="1"/>
  <c r="Y14" i="1"/>
  <c r="X15" i="1"/>
  <c r="Y15" i="1"/>
  <c r="X16" i="1"/>
  <c r="Y16" i="1"/>
  <c r="Y13" i="1"/>
  <c r="X13" i="1"/>
  <c r="X8" i="1"/>
  <c r="Y8" i="1"/>
  <c r="X9" i="1"/>
  <c r="Y9" i="1"/>
  <c r="X10" i="1"/>
  <c r="Y10" i="1"/>
  <c r="Y7" i="1"/>
  <c r="X7" i="1"/>
  <c r="V14" i="1"/>
  <c r="W14" i="1"/>
  <c r="V15" i="1"/>
  <c r="W15" i="1"/>
  <c r="V16" i="1"/>
  <c r="W16" i="1"/>
  <c r="W13" i="1"/>
  <c r="V13" i="1"/>
  <c r="V8" i="1"/>
  <c r="W8" i="1"/>
  <c r="V9" i="1"/>
  <c r="W9" i="1"/>
  <c r="V10" i="1"/>
  <c r="W10" i="1"/>
  <c r="W7" i="1"/>
  <c r="V7" i="1"/>
  <c r="T14" i="1"/>
  <c r="U14" i="1"/>
  <c r="T15" i="1"/>
  <c r="U15" i="1"/>
  <c r="T16" i="1"/>
  <c r="U16" i="1"/>
  <c r="U13" i="1"/>
  <c r="U17" i="1"/>
  <c r="T13" i="1"/>
  <c r="T8" i="1"/>
  <c r="U8" i="1"/>
  <c r="T9" i="1"/>
  <c r="U9" i="1"/>
  <c r="T10" i="1"/>
  <c r="U10" i="1"/>
  <c r="U7" i="1"/>
  <c r="T7" i="1"/>
  <c r="R14" i="1"/>
  <c r="S14" i="1"/>
  <c r="R15" i="1"/>
  <c r="S15" i="1"/>
  <c r="S13" i="1"/>
  <c r="S16" i="1"/>
  <c r="S17" i="1"/>
  <c r="R16" i="1"/>
  <c r="R13" i="1"/>
  <c r="R8" i="1"/>
  <c r="S8" i="1"/>
  <c r="R9" i="1"/>
  <c r="S9" i="1"/>
  <c r="R10" i="1"/>
  <c r="S10" i="1"/>
  <c r="S7" i="1"/>
  <c r="R7" i="1"/>
  <c r="P14" i="1"/>
  <c r="Q14" i="1"/>
  <c r="P15" i="1"/>
  <c r="Q15" i="1"/>
  <c r="Q13" i="1"/>
  <c r="Q16" i="1"/>
  <c r="Q17" i="1"/>
  <c r="P16" i="1"/>
  <c r="P13" i="1"/>
  <c r="P17" i="1"/>
  <c r="P8" i="1"/>
  <c r="Q8" i="1"/>
  <c r="P9" i="1"/>
  <c r="Q9" i="1"/>
  <c r="Q7" i="1"/>
  <c r="Q10" i="1"/>
  <c r="Q11" i="1"/>
  <c r="P10" i="1"/>
  <c r="P7" i="1"/>
  <c r="N14" i="1"/>
  <c r="O14" i="1"/>
  <c r="N15" i="1"/>
  <c r="O15" i="1"/>
  <c r="N16" i="1"/>
  <c r="N13" i="1"/>
  <c r="N17" i="1"/>
  <c r="O16" i="1"/>
  <c r="O13" i="1"/>
  <c r="O17" i="1"/>
  <c r="N8" i="1"/>
  <c r="O8" i="1"/>
  <c r="N9" i="1"/>
  <c r="N7" i="1"/>
  <c r="N10" i="1"/>
  <c r="N11" i="1"/>
  <c r="O9" i="1"/>
  <c r="O10" i="1"/>
  <c r="O7" i="1"/>
  <c r="L14" i="1"/>
  <c r="M14" i="1"/>
  <c r="L15" i="1"/>
  <c r="M15" i="1"/>
  <c r="L16" i="1"/>
  <c r="M16" i="1"/>
  <c r="M13" i="1"/>
  <c r="M17" i="1"/>
  <c r="L13" i="1"/>
  <c r="L8" i="1"/>
  <c r="M8" i="1"/>
  <c r="L9" i="1"/>
  <c r="M9" i="1"/>
  <c r="M7" i="1"/>
  <c r="M10" i="1"/>
  <c r="M11" i="1"/>
  <c r="L10" i="1"/>
  <c r="L7" i="1"/>
  <c r="J14" i="1"/>
  <c r="K14" i="1"/>
  <c r="J15" i="1"/>
  <c r="K15" i="1"/>
  <c r="J16" i="1"/>
  <c r="K16" i="1"/>
  <c r="K13" i="1"/>
  <c r="K17" i="1"/>
  <c r="J13" i="1"/>
  <c r="J17" i="1"/>
  <c r="J8" i="1"/>
  <c r="K8" i="1"/>
  <c r="J9" i="1"/>
  <c r="K9" i="1"/>
  <c r="J10" i="1"/>
  <c r="K10" i="1"/>
  <c r="K7" i="1"/>
  <c r="J7" i="1"/>
  <c r="H14" i="1"/>
  <c r="I14" i="1"/>
  <c r="H15" i="1"/>
  <c r="I15" i="1"/>
  <c r="H16" i="1"/>
  <c r="H13" i="1"/>
  <c r="H17" i="1"/>
  <c r="I16" i="1"/>
  <c r="I13" i="1"/>
  <c r="H8" i="1"/>
  <c r="I8" i="1"/>
  <c r="H9" i="1"/>
  <c r="I9" i="1"/>
  <c r="I7" i="1"/>
  <c r="I10" i="1"/>
  <c r="I11" i="1"/>
  <c r="H10" i="1"/>
  <c r="H7" i="1"/>
  <c r="H11" i="1"/>
  <c r="F14" i="1"/>
  <c r="G14" i="1"/>
  <c r="F15" i="1"/>
  <c r="G15" i="1"/>
  <c r="G13" i="1"/>
  <c r="G16" i="1"/>
  <c r="G17" i="1"/>
  <c r="F16" i="1"/>
  <c r="F13" i="1"/>
  <c r="F17" i="1"/>
  <c r="G8" i="1"/>
  <c r="G9" i="1"/>
  <c r="G10" i="1"/>
  <c r="G7" i="1"/>
  <c r="F7" i="1"/>
  <c r="C14" i="1"/>
  <c r="D14" i="1"/>
  <c r="E14" i="1"/>
  <c r="C15" i="1"/>
  <c r="D15" i="1"/>
  <c r="E15" i="1"/>
  <c r="E13" i="1"/>
  <c r="E16" i="1"/>
  <c r="E17" i="1"/>
  <c r="C16" i="1"/>
  <c r="C13" i="1"/>
  <c r="C17" i="1"/>
  <c r="D16" i="1"/>
  <c r="D13" i="1"/>
  <c r="E8" i="1"/>
  <c r="E9" i="1"/>
  <c r="E10" i="1"/>
  <c r="E7" i="1"/>
  <c r="D8" i="1"/>
  <c r="D9" i="1"/>
  <c r="D10" i="1"/>
  <c r="D7" i="1"/>
  <c r="C8" i="1"/>
  <c r="C20" i="1"/>
  <c r="D20" i="1"/>
  <c r="E20" i="1"/>
  <c r="C9" i="1"/>
  <c r="C21" i="1"/>
  <c r="C10" i="1"/>
  <c r="C22" i="1"/>
  <c r="C7" i="1"/>
  <c r="C19" i="1"/>
  <c r="X17" i="1"/>
  <c r="T17" i="1"/>
  <c r="L17" i="1"/>
  <c r="B16" i="1"/>
  <c r="B15" i="1"/>
  <c r="B14" i="1"/>
  <c r="Y17" i="1"/>
  <c r="W17" i="1"/>
  <c r="I17" i="1"/>
  <c r="B13" i="1"/>
  <c r="D38" i="2"/>
  <c r="E38" i="2"/>
  <c r="D39" i="2"/>
  <c r="E39" i="2"/>
  <c r="D40" i="2"/>
  <c r="E40" i="2"/>
  <c r="E37" i="2"/>
  <c r="D37" i="2"/>
  <c r="C38" i="2"/>
  <c r="C39" i="2"/>
  <c r="C40" i="2"/>
  <c r="C37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B27" i="2"/>
  <c r="C26" i="2"/>
  <c r="D26" i="2"/>
  <c r="E26" i="2"/>
  <c r="F26" i="2"/>
  <c r="G26" i="2"/>
  <c r="H26" i="2"/>
  <c r="B26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B25" i="2"/>
  <c r="B24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1" i="2"/>
  <c r="B20" i="2"/>
  <c r="B19" i="2"/>
  <c r="B18" i="2"/>
  <c r="Y11" i="1"/>
  <c r="X11" i="1"/>
  <c r="W11" i="1"/>
  <c r="B46" i="50"/>
  <c r="B45" i="50"/>
  <c r="B44" i="50"/>
  <c r="C37" i="50"/>
  <c r="D37" i="50"/>
  <c r="D43" i="50"/>
  <c r="C43" i="50"/>
  <c r="B43" i="50"/>
  <c r="D38" i="50"/>
  <c r="D39" i="50"/>
  <c r="D40" i="50"/>
  <c r="D41" i="50"/>
  <c r="C40" i="50"/>
  <c r="D46" i="50"/>
  <c r="B40" i="50"/>
  <c r="C39" i="50"/>
  <c r="D45" i="50"/>
  <c r="B39" i="50"/>
  <c r="C38" i="50"/>
  <c r="D44" i="50"/>
  <c r="B38" i="50"/>
  <c r="C41" i="50"/>
  <c r="E41" i="50"/>
  <c r="B37" i="50"/>
  <c r="C15" i="50"/>
  <c r="C27" i="50"/>
  <c r="C33" i="50"/>
  <c r="B33" i="50"/>
  <c r="B32" i="50"/>
  <c r="B31" i="50"/>
  <c r="B30" i="50"/>
  <c r="D27" i="50"/>
  <c r="E27" i="50"/>
  <c r="F27" i="50"/>
  <c r="G27" i="50"/>
  <c r="H27" i="50"/>
  <c r="I27" i="50"/>
  <c r="J27" i="50"/>
  <c r="K27" i="50"/>
  <c r="L27" i="50"/>
  <c r="M27" i="50"/>
  <c r="N27" i="50"/>
  <c r="O27" i="50"/>
  <c r="P27" i="50"/>
  <c r="B27" i="50"/>
  <c r="C26" i="50"/>
  <c r="D26" i="50"/>
  <c r="E26" i="50"/>
  <c r="F26" i="50"/>
  <c r="G26" i="50"/>
  <c r="H26" i="50"/>
  <c r="I26" i="50"/>
  <c r="J26" i="50"/>
  <c r="K26" i="50"/>
  <c r="L26" i="50"/>
  <c r="M26" i="50"/>
  <c r="N26" i="50"/>
  <c r="O26" i="50"/>
  <c r="P26" i="50"/>
  <c r="B26" i="50"/>
  <c r="C25" i="50"/>
  <c r="B25" i="50"/>
  <c r="C24" i="50"/>
  <c r="B24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1" i="50"/>
  <c r="B20" i="50"/>
  <c r="B19" i="50"/>
  <c r="B18" i="50"/>
  <c r="D15" i="50"/>
  <c r="B15" i="50"/>
  <c r="C14" i="50"/>
  <c r="D14" i="50"/>
  <c r="B14" i="50"/>
  <c r="C13" i="50"/>
  <c r="D13" i="50"/>
  <c r="B13" i="50"/>
  <c r="C12" i="50"/>
  <c r="B12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9" i="50"/>
  <c r="B8" i="50"/>
  <c r="B7" i="50"/>
  <c r="B6" i="50"/>
  <c r="C4" i="50"/>
  <c r="D4" i="50"/>
  <c r="E4" i="50"/>
  <c r="F4" i="50"/>
  <c r="G4" i="50"/>
  <c r="H4" i="50"/>
  <c r="I4" i="50"/>
  <c r="J4" i="50"/>
  <c r="K4" i="50"/>
  <c r="L4" i="50"/>
  <c r="M4" i="50"/>
  <c r="N4" i="50"/>
  <c r="O4" i="50"/>
  <c r="P4" i="50"/>
  <c r="B46" i="49"/>
  <c r="B45" i="49"/>
  <c r="C38" i="49"/>
  <c r="C44" i="49"/>
  <c r="B44" i="49"/>
  <c r="B43" i="49"/>
  <c r="D37" i="49"/>
  <c r="D38" i="49"/>
  <c r="D39" i="49"/>
  <c r="D40" i="49"/>
  <c r="D41" i="49"/>
  <c r="C40" i="49"/>
  <c r="D46" i="49"/>
  <c r="C46" i="49"/>
  <c r="B40" i="49"/>
  <c r="C39" i="49"/>
  <c r="D45" i="49"/>
  <c r="B39" i="49"/>
  <c r="E38" i="49"/>
  <c r="D44" i="49"/>
  <c r="B38" i="49"/>
  <c r="C37" i="49"/>
  <c r="C41" i="49"/>
  <c r="E41" i="49"/>
  <c r="B37" i="49"/>
  <c r="B33" i="49"/>
  <c r="B32" i="49"/>
  <c r="B31" i="49"/>
  <c r="B30" i="49"/>
  <c r="C27" i="49"/>
  <c r="D27" i="49"/>
  <c r="E27" i="49"/>
  <c r="F27" i="49"/>
  <c r="G27" i="49"/>
  <c r="H27" i="49"/>
  <c r="I27" i="49"/>
  <c r="J27" i="49"/>
  <c r="K27" i="49"/>
  <c r="L27" i="49"/>
  <c r="M27" i="49"/>
  <c r="N27" i="49"/>
  <c r="O27" i="49"/>
  <c r="P27" i="49"/>
  <c r="B27" i="49"/>
  <c r="C26" i="49"/>
  <c r="D26" i="49"/>
  <c r="E26" i="49"/>
  <c r="F26" i="49"/>
  <c r="G26" i="49"/>
  <c r="H26" i="49"/>
  <c r="I26" i="49"/>
  <c r="J26" i="49"/>
  <c r="K26" i="49"/>
  <c r="L26" i="49"/>
  <c r="M26" i="49"/>
  <c r="N26" i="49"/>
  <c r="O26" i="49"/>
  <c r="P26" i="49"/>
  <c r="B26" i="49"/>
  <c r="C25" i="49"/>
  <c r="B25" i="49"/>
  <c r="C24" i="49"/>
  <c r="B24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1" i="49"/>
  <c r="B20" i="49"/>
  <c r="B19" i="49"/>
  <c r="B18" i="49"/>
  <c r="C15" i="49"/>
  <c r="D15" i="49"/>
  <c r="B15" i="49"/>
  <c r="C14" i="49"/>
  <c r="D14" i="49"/>
  <c r="E14" i="49"/>
  <c r="D32" i="49"/>
  <c r="B14" i="49"/>
  <c r="C13" i="49"/>
  <c r="D13" i="49"/>
  <c r="B13" i="49"/>
  <c r="C12" i="49"/>
  <c r="B12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9" i="49"/>
  <c r="B8" i="49"/>
  <c r="B7" i="49"/>
  <c r="B6" i="49"/>
  <c r="C4" i="49"/>
  <c r="D4" i="49"/>
  <c r="E4" i="49"/>
  <c r="F4" i="49"/>
  <c r="G4" i="49"/>
  <c r="H4" i="49"/>
  <c r="I4" i="49"/>
  <c r="J4" i="49"/>
  <c r="K4" i="49"/>
  <c r="L4" i="49"/>
  <c r="M4" i="49"/>
  <c r="N4" i="49"/>
  <c r="O4" i="49"/>
  <c r="P4" i="49"/>
  <c r="B46" i="48"/>
  <c r="B45" i="48"/>
  <c r="B44" i="48"/>
  <c r="B43" i="48"/>
  <c r="D37" i="48"/>
  <c r="D38" i="48"/>
  <c r="D39" i="48"/>
  <c r="D40" i="48"/>
  <c r="D41" i="48"/>
  <c r="C40" i="48"/>
  <c r="C46" i="48"/>
  <c r="B40" i="48"/>
  <c r="C39" i="48"/>
  <c r="B39" i="48"/>
  <c r="C38" i="48"/>
  <c r="D44" i="48"/>
  <c r="B38" i="48"/>
  <c r="C37" i="48"/>
  <c r="B37" i="48"/>
  <c r="B33" i="48"/>
  <c r="B32" i="48"/>
  <c r="B31" i="48"/>
  <c r="B30" i="48"/>
  <c r="C27" i="48"/>
  <c r="D27" i="48"/>
  <c r="E27" i="48"/>
  <c r="F27" i="48"/>
  <c r="G27" i="48"/>
  <c r="H27" i="48"/>
  <c r="I27" i="48"/>
  <c r="J27" i="48"/>
  <c r="K27" i="48"/>
  <c r="L27" i="48"/>
  <c r="M27" i="48"/>
  <c r="N27" i="48"/>
  <c r="O27" i="48"/>
  <c r="P27" i="48"/>
  <c r="B27" i="48"/>
  <c r="C26" i="48"/>
  <c r="D26" i="48"/>
  <c r="E26" i="48"/>
  <c r="F26" i="48"/>
  <c r="G26" i="48"/>
  <c r="H26" i="48"/>
  <c r="I26" i="48"/>
  <c r="J26" i="48"/>
  <c r="K26" i="48"/>
  <c r="L26" i="48"/>
  <c r="M26" i="48"/>
  <c r="N26" i="48"/>
  <c r="O26" i="48"/>
  <c r="P26" i="48"/>
  <c r="B26" i="48"/>
  <c r="C25" i="48"/>
  <c r="D25" i="48"/>
  <c r="E25" i="48"/>
  <c r="F25" i="48"/>
  <c r="G25" i="48"/>
  <c r="H25" i="48"/>
  <c r="I25" i="48"/>
  <c r="J25" i="48"/>
  <c r="K25" i="48"/>
  <c r="L25" i="48"/>
  <c r="M25" i="48"/>
  <c r="N25" i="48"/>
  <c r="O25" i="48"/>
  <c r="P25" i="48"/>
  <c r="B25" i="48"/>
  <c r="C24" i="48"/>
  <c r="B24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1" i="48"/>
  <c r="B20" i="48"/>
  <c r="B19" i="48"/>
  <c r="B18" i="48"/>
  <c r="C15" i="48"/>
  <c r="D15" i="48"/>
  <c r="B15" i="48"/>
  <c r="C14" i="48"/>
  <c r="D14" i="48"/>
  <c r="E14" i="48"/>
  <c r="E32" i="48"/>
  <c r="B14" i="48"/>
  <c r="C13" i="48"/>
  <c r="D13" i="48"/>
  <c r="D31" i="48"/>
  <c r="B13" i="48"/>
  <c r="C12" i="48"/>
  <c r="D12" i="48"/>
  <c r="B12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9" i="48"/>
  <c r="B8" i="48"/>
  <c r="B7" i="48"/>
  <c r="B6" i="48"/>
  <c r="C4" i="48"/>
  <c r="D4" i="48"/>
  <c r="E4" i="48"/>
  <c r="F4" i="48"/>
  <c r="G4" i="48"/>
  <c r="H4" i="48"/>
  <c r="I4" i="48"/>
  <c r="J4" i="48"/>
  <c r="K4" i="48"/>
  <c r="L4" i="48"/>
  <c r="M4" i="48"/>
  <c r="N4" i="48"/>
  <c r="O4" i="48"/>
  <c r="P4" i="48"/>
  <c r="B46" i="47"/>
  <c r="C39" i="47"/>
  <c r="C45" i="47"/>
  <c r="B45" i="47"/>
  <c r="B44" i="47"/>
  <c r="C37" i="47"/>
  <c r="C43" i="47"/>
  <c r="B43" i="47"/>
  <c r="D40" i="47"/>
  <c r="C40" i="47"/>
  <c r="E40" i="47"/>
  <c r="B40" i="47"/>
  <c r="D39" i="47"/>
  <c r="E39" i="47"/>
  <c r="B39" i="47"/>
  <c r="D38" i="47"/>
  <c r="C38" i="47"/>
  <c r="D44" i="47"/>
  <c r="B38" i="47"/>
  <c r="D37" i="47"/>
  <c r="E37" i="47"/>
  <c r="C41" i="47"/>
  <c r="B37" i="47"/>
  <c r="B33" i="47"/>
  <c r="B32" i="47"/>
  <c r="B31" i="47"/>
  <c r="B30" i="47"/>
  <c r="C27" i="47"/>
  <c r="C15" i="47"/>
  <c r="C33" i="47"/>
  <c r="B27" i="47"/>
  <c r="C26" i="47"/>
  <c r="D26" i="47"/>
  <c r="B26" i="47"/>
  <c r="C25" i="47"/>
  <c r="B25" i="47"/>
  <c r="C24" i="47"/>
  <c r="B24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1" i="47"/>
  <c r="B20" i="47"/>
  <c r="B19" i="47"/>
  <c r="B18" i="47"/>
  <c r="D15" i="47"/>
  <c r="B15" i="47"/>
  <c r="C14" i="47"/>
  <c r="D14" i="47"/>
  <c r="E14" i="47"/>
  <c r="F14" i="47"/>
  <c r="B14" i="47"/>
  <c r="C13" i="47"/>
  <c r="D13" i="47"/>
  <c r="E13" i="47"/>
  <c r="B13" i="47"/>
  <c r="C12" i="47"/>
  <c r="C30" i="47"/>
  <c r="B12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9" i="47"/>
  <c r="B8" i="47"/>
  <c r="B7" i="47"/>
  <c r="B6" i="47"/>
  <c r="C4" i="47"/>
  <c r="D4" i="47"/>
  <c r="E4" i="47"/>
  <c r="F4" i="47"/>
  <c r="G4" i="47"/>
  <c r="H4" i="47"/>
  <c r="I4" i="47"/>
  <c r="J4" i="47"/>
  <c r="K4" i="47"/>
  <c r="L4" i="47"/>
  <c r="M4" i="47"/>
  <c r="N4" i="47"/>
  <c r="O4" i="47"/>
  <c r="P4" i="47"/>
  <c r="B46" i="46"/>
  <c r="B45" i="46"/>
  <c r="B44" i="46"/>
  <c r="C37" i="46"/>
  <c r="C43" i="46"/>
  <c r="B43" i="46"/>
  <c r="D37" i="46"/>
  <c r="D38" i="46"/>
  <c r="D39" i="46"/>
  <c r="D40" i="46"/>
  <c r="D41" i="46"/>
  <c r="C40" i="46"/>
  <c r="E40" i="46"/>
  <c r="B40" i="46"/>
  <c r="C39" i="46"/>
  <c r="D45" i="46"/>
  <c r="B39" i="46"/>
  <c r="C38" i="46"/>
  <c r="D44" i="46"/>
  <c r="B38" i="46"/>
  <c r="C41" i="46"/>
  <c r="E41" i="46"/>
  <c r="B37" i="46"/>
  <c r="B33" i="46"/>
  <c r="B32" i="46"/>
  <c r="B31" i="46"/>
  <c r="B30" i="46"/>
  <c r="C27" i="46"/>
  <c r="D27" i="46"/>
  <c r="E27" i="46"/>
  <c r="F27" i="46"/>
  <c r="G27" i="46"/>
  <c r="H27" i="46"/>
  <c r="I27" i="46"/>
  <c r="J27" i="46"/>
  <c r="K27" i="46"/>
  <c r="L27" i="46"/>
  <c r="M27" i="46"/>
  <c r="N27" i="46"/>
  <c r="O27" i="46"/>
  <c r="P27" i="46"/>
  <c r="B27" i="46"/>
  <c r="C26" i="46"/>
  <c r="D26" i="46"/>
  <c r="C14" i="46"/>
  <c r="D14" i="46"/>
  <c r="D32" i="46"/>
  <c r="B26" i="46"/>
  <c r="C25" i="46"/>
  <c r="D25" i="46"/>
  <c r="E25" i="46"/>
  <c r="F25" i="46"/>
  <c r="G25" i="46"/>
  <c r="H25" i="46"/>
  <c r="I25" i="46"/>
  <c r="J25" i="46"/>
  <c r="K25" i="46"/>
  <c r="L25" i="46"/>
  <c r="M25" i="46"/>
  <c r="N25" i="46"/>
  <c r="O25" i="46"/>
  <c r="P25" i="46"/>
  <c r="B25" i="46"/>
  <c r="C24" i="46"/>
  <c r="B24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1" i="46"/>
  <c r="B20" i="46"/>
  <c r="B19" i="46"/>
  <c r="B18" i="46"/>
  <c r="C15" i="46"/>
  <c r="D15" i="46"/>
  <c r="B15" i="46"/>
  <c r="E14" i="46"/>
  <c r="B14" i="46"/>
  <c r="C13" i="46"/>
  <c r="D13" i="46"/>
  <c r="D31" i="46"/>
  <c r="B13" i="46"/>
  <c r="C12" i="46"/>
  <c r="C30" i="46"/>
  <c r="B12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B9" i="46"/>
  <c r="B8" i="46"/>
  <c r="B7" i="46"/>
  <c r="B6" i="46"/>
  <c r="C4" i="46"/>
  <c r="D4" i="46"/>
  <c r="E4" i="46"/>
  <c r="F4" i="46"/>
  <c r="G4" i="46"/>
  <c r="H4" i="46"/>
  <c r="I4" i="46"/>
  <c r="J4" i="46"/>
  <c r="K4" i="46"/>
  <c r="L4" i="46"/>
  <c r="M4" i="46"/>
  <c r="N4" i="46"/>
  <c r="O4" i="46"/>
  <c r="P4" i="46"/>
  <c r="B46" i="45"/>
  <c r="B45" i="45"/>
  <c r="B44" i="45"/>
  <c r="C37" i="45"/>
  <c r="C43" i="45"/>
  <c r="B43" i="45"/>
  <c r="D37" i="45"/>
  <c r="D38" i="45"/>
  <c r="D39" i="45"/>
  <c r="D40" i="45"/>
  <c r="D41" i="45"/>
  <c r="C40" i="45"/>
  <c r="D46" i="45"/>
  <c r="B40" i="45"/>
  <c r="C39" i="45"/>
  <c r="D45" i="45"/>
  <c r="B39" i="45"/>
  <c r="C38" i="45"/>
  <c r="D44" i="45"/>
  <c r="B38" i="45"/>
  <c r="C41" i="45"/>
  <c r="E41" i="45"/>
  <c r="B37" i="45"/>
  <c r="C15" i="45"/>
  <c r="C27" i="45"/>
  <c r="C33" i="45"/>
  <c r="B33" i="45"/>
  <c r="B32" i="45"/>
  <c r="B31" i="45"/>
  <c r="B30" i="45"/>
  <c r="D27" i="45"/>
  <c r="E27" i="45"/>
  <c r="F27" i="45"/>
  <c r="G27" i="45"/>
  <c r="H27" i="45"/>
  <c r="I27" i="45"/>
  <c r="J27" i="45"/>
  <c r="K27" i="45"/>
  <c r="L27" i="45"/>
  <c r="M27" i="45"/>
  <c r="N27" i="45"/>
  <c r="O27" i="45"/>
  <c r="P27" i="45"/>
  <c r="B27" i="45"/>
  <c r="C26" i="45"/>
  <c r="D26" i="45"/>
  <c r="E26" i="45"/>
  <c r="F26" i="45"/>
  <c r="G26" i="45"/>
  <c r="H26" i="45"/>
  <c r="I26" i="45"/>
  <c r="J26" i="45"/>
  <c r="K26" i="45"/>
  <c r="L26" i="45"/>
  <c r="M26" i="45"/>
  <c r="N26" i="45"/>
  <c r="O26" i="45"/>
  <c r="P26" i="45"/>
  <c r="B26" i="45"/>
  <c r="C25" i="45"/>
  <c r="B25" i="45"/>
  <c r="C24" i="45"/>
  <c r="B24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1" i="45"/>
  <c r="B20" i="45"/>
  <c r="B19" i="45"/>
  <c r="B18" i="45"/>
  <c r="D15" i="45"/>
  <c r="B15" i="45"/>
  <c r="C14" i="45"/>
  <c r="D14" i="45"/>
  <c r="B14" i="45"/>
  <c r="C13" i="45"/>
  <c r="D13" i="45"/>
  <c r="B13" i="45"/>
  <c r="C12" i="45"/>
  <c r="C30" i="45"/>
  <c r="B12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9" i="45"/>
  <c r="B8" i="45"/>
  <c r="B7" i="45"/>
  <c r="B6" i="45"/>
  <c r="C4" i="45"/>
  <c r="D4" i="45"/>
  <c r="E4" i="45"/>
  <c r="F4" i="45"/>
  <c r="G4" i="45"/>
  <c r="H4" i="45"/>
  <c r="I4" i="45"/>
  <c r="J4" i="45"/>
  <c r="K4" i="45"/>
  <c r="L4" i="45"/>
  <c r="M4" i="45"/>
  <c r="N4" i="45"/>
  <c r="O4" i="45"/>
  <c r="P4" i="45"/>
  <c r="B46" i="44"/>
  <c r="B45" i="44"/>
  <c r="B44" i="44"/>
  <c r="B43" i="44"/>
  <c r="D37" i="44"/>
  <c r="D38" i="44"/>
  <c r="D39" i="44"/>
  <c r="D40" i="44"/>
  <c r="D41" i="44"/>
  <c r="C40" i="44"/>
  <c r="D46" i="44"/>
  <c r="E40" i="44"/>
  <c r="B40" i="44"/>
  <c r="C39" i="44"/>
  <c r="D45" i="44"/>
  <c r="B39" i="44"/>
  <c r="C38" i="44"/>
  <c r="D44" i="44"/>
  <c r="B38" i="44"/>
  <c r="C37" i="44"/>
  <c r="C41" i="44"/>
  <c r="E41" i="44"/>
  <c r="B37" i="44"/>
  <c r="B33" i="44"/>
  <c r="B32" i="44"/>
  <c r="B31" i="44"/>
  <c r="B30" i="44"/>
  <c r="C27" i="44"/>
  <c r="D27" i="44"/>
  <c r="E27" i="44"/>
  <c r="F27" i="44"/>
  <c r="G27" i="44"/>
  <c r="H27" i="44"/>
  <c r="I27" i="44"/>
  <c r="J27" i="44"/>
  <c r="K27" i="44"/>
  <c r="L27" i="44"/>
  <c r="M27" i="44"/>
  <c r="N27" i="44"/>
  <c r="O27" i="44"/>
  <c r="P27" i="44"/>
  <c r="B27" i="44"/>
  <c r="C26" i="44"/>
  <c r="D26" i="44"/>
  <c r="B26" i="44"/>
  <c r="C25" i="44"/>
  <c r="B25" i="44"/>
  <c r="C24" i="44"/>
  <c r="D24" i="44"/>
  <c r="E24" i="44"/>
  <c r="C28" i="44"/>
  <c r="B24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1" i="44"/>
  <c r="B20" i="44"/>
  <c r="B19" i="44"/>
  <c r="B18" i="44"/>
  <c r="C15" i="44"/>
  <c r="D15" i="44"/>
  <c r="B15" i="44"/>
  <c r="C14" i="44"/>
  <c r="D14" i="44"/>
  <c r="E14" i="44"/>
  <c r="C32" i="44"/>
  <c r="B14" i="44"/>
  <c r="C13" i="44"/>
  <c r="D13" i="44"/>
  <c r="B13" i="44"/>
  <c r="C12" i="44"/>
  <c r="B12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9" i="44"/>
  <c r="B8" i="44"/>
  <c r="B7" i="44"/>
  <c r="B6" i="44"/>
  <c r="C4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B46" i="43"/>
  <c r="B45" i="43"/>
  <c r="B44" i="43"/>
  <c r="B43" i="43"/>
  <c r="D40" i="43"/>
  <c r="C40" i="43"/>
  <c r="B40" i="43"/>
  <c r="D39" i="43"/>
  <c r="C39" i="43"/>
  <c r="D45" i="43"/>
  <c r="B39" i="43"/>
  <c r="D38" i="43"/>
  <c r="C38" i="43"/>
  <c r="B38" i="43"/>
  <c r="D37" i="43"/>
  <c r="C37" i="43"/>
  <c r="B37" i="43"/>
  <c r="B33" i="43"/>
  <c r="B32" i="43"/>
  <c r="B31" i="43"/>
  <c r="B30" i="43"/>
  <c r="C27" i="43"/>
  <c r="D27" i="43"/>
  <c r="E27" i="43"/>
  <c r="F27" i="43"/>
  <c r="G27" i="43"/>
  <c r="H27" i="43"/>
  <c r="I27" i="43"/>
  <c r="J27" i="43"/>
  <c r="K27" i="43"/>
  <c r="L27" i="43"/>
  <c r="M27" i="43"/>
  <c r="N27" i="43"/>
  <c r="O27" i="43"/>
  <c r="P27" i="43"/>
  <c r="B27" i="43"/>
  <c r="C26" i="43"/>
  <c r="D26" i="43"/>
  <c r="E26" i="43"/>
  <c r="F26" i="43"/>
  <c r="G26" i="43"/>
  <c r="H26" i="43"/>
  <c r="I26" i="43"/>
  <c r="J26" i="43"/>
  <c r="K26" i="43"/>
  <c r="L26" i="43"/>
  <c r="M26" i="43"/>
  <c r="N26" i="43"/>
  <c r="O26" i="43"/>
  <c r="P26" i="43"/>
  <c r="B26" i="43"/>
  <c r="C25" i="43"/>
  <c r="B25" i="43"/>
  <c r="C24" i="43"/>
  <c r="B24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1" i="43"/>
  <c r="B20" i="43"/>
  <c r="B19" i="43"/>
  <c r="B18" i="43"/>
  <c r="C15" i="43"/>
  <c r="D15" i="43"/>
  <c r="B15" i="43"/>
  <c r="C14" i="43"/>
  <c r="D14" i="43"/>
  <c r="B14" i="43"/>
  <c r="C13" i="43"/>
  <c r="D13" i="43"/>
  <c r="B13" i="43"/>
  <c r="C12" i="43"/>
  <c r="C30" i="43"/>
  <c r="B12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8" i="43"/>
  <c r="B7" i="43"/>
  <c r="B6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B46" i="42"/>
  <c r="B45" i="42"/>
  <c r="B44" i="42"/>
  <c r="C37" i="42"/>
  <c r="C43" i="42"/>
  <c r="B43" i="42"/>
  <c r="D37" i="42"/>
  <c r="D38" i="42"/>
  <c r="D39" i="42"/>
  <c r="D40" i="42"/>
  <c r="D41" i="42"/>
  <c r="C40" i="42"/>
  <c r="E40" i="42"/>
  <c r="B40" i="42"/>
  <c r="C39" i="42"/>
  <c r="D45" i="42"/>
  <c r="B39" i="42"/>
  <c r="C38" i="42"/>
  <c r="D44" i="42"/>
  <c r="B38" i="42"/>
  <c r="C41" i="42"/>
  <c r="E41" i="42"/>
  <c r="B37" i="42"/>
  <c r="B33" i="42"/>
  <c r="B32" i="42"/>
  <c r="B31" i="42"/>
  <c r="B30" i="42"/>
  <c r="C27" i="42"/>
  <c r="D27" i="42"/>
  <c r="E27" i="42"/>
  <c r="F27" i="42"/>
  <c r="G27" i="42"/>
  <c r="H27" i="42"/>
  <c r="I27" i="42"/>
  <c r="J27" i="42"/>
  <c r="K27" i="42"/>
  <c r="L27" i="42"/>
  <c r="M27" i="42"/>
  <c r="N27" i="42"/>
  <c r="O27" i="42"/>
  <c r="P27" i="42"/>
  <c r="B27" i="42"/>
  <c r="C26" i="42"/>
  <c r="D26" i="42"/>
  <c r="B26" i="42"/>
  <c r="C25" i="42"/>
  <c r="D25" i="42"/>
  <c r="E25" i="42"/>
  <c r="F25" i="42"/>
  <c r="G25" i="42"/>
  <c r="H25" i="42"/>
  <c r="I25" i="42"/>
  <c r="J25" i="42"/>
  <c r="K25" i="42"/>
  <c r="L25" i="42"/>
  <c r="M25" i="42"/>
  <c r="N25" i="42"/>
  <c r="O25" i="42"/>
  <c r="P25" i="42"/>
  <c r="B25" i="42"/>
  <c r="C24" i="42"/>
  <c r="B24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1" i="42"/>
  <c r="B20" i="42"/>
  <c r="B19" i="42"/>
  <c r="B18" i="42"/>
  <c r="C15" i="42"/>
  <c r="D15" i="42"/>
  <c r="B15" i="42"/>
  <c r="C14" i="42"/>
  <c r="C32" i="42"/>
  <c r="B14" i="42"/>
  <c r="C13" i="42"/>
  <c r="D13" i="42"/>
  <c r="B13" i="42"/>
  <c r="C12" i="42"/>
  <c r="C30" i="42"/>
  <c r="B12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9" i="42"/>
  <c r="B8" i="42"/>
  <c r="B7" i="42"/>
  <c r="B6" i="42"/>
  <c r="E4" i="42"/>
  <c r="F4" i="42"/>
  <c r="G4" i="42"/>
  <c r="H4" i="42"/>
  <c r="I4" i="42"/>
  <c r="J4" i="42"/>
  <c r="K4" i="42"/>
  <c r="L4" i="42"/>
  <c r="M4" i="42"/>
  <c r="N4" i="42"/>
  <c r="O4" i="42"/>
  <c r="P4" i="42"/>
  <c r="C38" i="15"/>
  <c r="D38" i="15"/>
  <c r="D44" i="15"/>
  <c r="C39" i="15"/>
  <c r="D39" i="15"/>
  <c r="D45" i="15"/>
  <c r="C40" i="15"/>
  <c r="C46" i="15"/>
  <c r="D40" i="15"/>
  <c r="D46" i="15"/>
  <c r="D37" i="15"/>
  <c r="C37" i="15"/>
  <c r="B46" i="15"/>
  <c r="B45" i="15"/>
  <c r="B44" i="15"/>
  <c r="B43" i="15"/>
  <c r="B40" i="15"/>
  <c r="B39" i="15"/>
  <c r="B38" i="15"/>
  <c r="B37" i="15"/>
  <c r="B33" i="15"/>
  <c r="B32" i="15"/>
  <c r="B31" i="15"/>
  <c r="B30" i="15"/>
  <c r="B2" i="50"/>
  <c r="B2" i="49"/>
  <c r="B2" i="48"/>
  <c r="B2" i="47"/>
  <c r="B2" i="46"/>
  <c r="B2" i="45"/>
  <c r="B2" i="44"/>
  <c r="D41" i="43"/>
  <c r="D46" i="43"/>
  <c r="C41" i="43"/>
  <c r="E41" i="43"/>
  <c r="J11" i="1"/>
  <c r="K11" i="1"/>
  <c r="D44" i="43"/>
  <c r="C32" i="43"/>
  <c r="C43" i="43"/>
  <c r="C33" i="43"/>
  <c r="C16" i="44"/>
  <c r="C31" i="44"/>
  <c r="C16" i="45"/>
  <c r="C16" i="47"/>
  <c r="D14" i="42"/>
  <c r="E14" i="42"/>
  <c r="F14" i="42"/>
  <c r="C32" i="46"/>
  <c r="C28" i="49"/>
  <c r="C28" i="42"/>
  <c r="C28" i="43"/>
  <c r="C16" i="46"/>
  <c r="C28" i="48"/>
  <c r="D24" i="49"/>
  <c r="E24" i="49"/>
  <c r="C28" i="45"/>
  <c r="C33" i="46"/>
  <c r="D12" i="47"/>
  <c r="D16" i="47"/>
  <c r="C28" i="47"/>
  <c r="C32" i="50"/>
  <c r="D19" i="1"/>
  <c r="E19" i="1"/>
  <c r="F19" i="1"/>
  <c r="G19" i="1"/>
  <c r="H19" i="1"/>
  <c r="C31" i="43"/>
  <c r="C31" i="49"/>
  <c r="C30" i="50"/>
  <c r="C16" i="50"/>
  <c r="C31" i="45"/>
  <c r="C31" i="47"/>
  <c r="C16" i="42"/>
  <c r="C33" i="42"/>
  <c r="C16" i="43"/>
  <c r="C32" i="45"/>
  <c r="C28" i="46"/>
  <c r="D17" i="1"/>
  <c r="D22" i="1"/>
  <c r="E22" i="1"/>
  <c r="D21" i="1"/>
  <c r="E21" i="1"/>
  <c r="V17" i="1"/>
  <c r="R17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L11" i="1"/>
  <c r="S11" i="1"/>
  <c r="P11" i="1"/>
  <c r="O11" i="1"/>
  <c r="U11" i="1"/>
  <c r="I26" i="2"/>
  <c r="C28" i="2"/>
  <c r="V11" i="1"/>
  <c r="T11" i="1"/>
  <c r="R11" i="1"/>
  <c r="D47" i="50"/>
  <c r="E15" i="50"/>
  <c r="D33" i="50"/>
  <c r="C31" i="50"/>
  <c r="C34" i="50"/>
  <c r="D25" i="50"/>
  <c r="E25" i="50"/>
  <c r="F25" i="50"/>
  <c r="G25" i="50"/>
  <c r="H25" i="50"/>
  <c r="I25" i="50"/>
  <c r="J25" i="50"/>
  <c r="K25" i="50"/>
  <c r="L25" i="50"/>
  <c r="M25" i="50"/>
  <c r="N25" i="50"/>
  <c r="O25" i="50"/>
  <c r="P25" i="50"/>
  <c r="D32" i="50"/>
  <c r="E14" i="50"/>
  <c r="C28" i="50"/>
  <c r="D12" i="50"/>
  <c r="E13" i="50"/>
  <c r="C45" i="50"/>
  <c r="E37" i="50"/>
  <c r="E39" i="50"/>
  <c r="D24" i="50"/>
  <c r="E38" i="50"/>
  <c r="E40" i="50"/>
  <c r="C44" i="50"/>
  <c r="C46" i="50"/>
  <c r="C47" i="50"/>
  <c r="D12" i="49"/>
  <c r="C30" i="49"/>
  <c r="C16" i="49"/>
  <c r="E32" i="49"/>
  <c r="F14" i="49"/>
  <c r="E15" i="49"/>
  <c r="D33" i="49"/>
  <c r="E13" i="49"/>
  <c r="F24" i="49"/>
  <c r="E37" i="49"/>
  <c r="E39" i="49"/>
  <c r="C33" i="49"/>
  <c r="C43" i="49"/>
  <c r="C45" i="49"/>
  <c r="C47" i="49"/>
  <c r="D25" i="49"/>
  <c r="C32" i="49"/>
  <c r="D43" i="49"/>
  <c r="D47" i="49"/>
  <c r="E40" i="49"/>
  <c r="E12" i="48"/>
  <c r="D16" i="48"/>
  <c r="C41" i="48"/>
  <c r="E41" i="48"/>
  <c r="C43" i="48"/>
  <c r="D43" i="48"/>
  <c r="E37" i="48"/>
  <c r="D32" i="48"/>
  <c r="E15" i="48"/>
  <c r="D33" i="48"/>
  <c r="F14" i="48"/>
  <c r="E13" i="48"/>
  <c r="E39" i="48"/>
  <c r="D45" i="48"/>
  <c r="C45" i="48"/>
  <c r="C16" i="48"/>
  <c r="C30" i="48"/>
  <c r="C33" i="48"/>
  <c r="C32" i="48"/>
  <c r="D24" i="48"/>
  <c r="C31" i="48"/>
  <c r="D46" i="48"/>
  <c r="E38" i="48"/>
  <c r="E40" i="48"/>
  <c r="C44" i="48"/>
  <c r="E26" i="47"/>
  <c r="F26" i="47"/>
  <c r="F32" i="47"/>
  <c r="E15" i="47"/>
  <c r="D27" i="47"/>
  <c r="D33" i="47"/>
  <c r="D32" i="47"/>
  <c r="G26" i="47"/>
  <c r="H26" i="47"/>
  <c r="I26" i="47"/>
  <c r="J26" i="47"/>
  <c r="K26" i="47"/>
  <c r="L26" i="47"/>
  <c r="M26" i="47"/>
  <c r="N26" i="47"/>
  <c r="O26" i="47"/>
  <c r="P26" i="47"/>
  <c r="D41" i="47"/>
  <c r="E41" i="47"/>
  <c r="F13" i="47"/>
  <c r="D45" i="47"/>
  <c r="D25" i="47"/>
  <c r="E25" i="47"/>
  <c r="F25" i="47"/>
  <c r="G25" i="47"/>
  <c r="H25" i="47"/>
  <c r="I25" i="47"/>
  <c r="J25" i="47"/>
  <c r="K25" i="47"/>
  <c r="L25" i="47"/>
  <c r="M25" i="47"/>
  <c r="N25" i="47"/>
  <c r="O25" i="47"/>
  <c r="P25" i="47"/>
  <c r="C46" i="47"/>
  <c r="C32" i="47"/>
  <c r="C34" i="47"/>
  <c r="D43" i="47"/>
  <c r="D46" i="47"/>
  <c r="E38" i="47"/>
  <c r="C44" i="47"/>
  <c r="C47" i="47"/>
  <c r="E12" i="47"/>
  <c r="G14" i="47"/>
  <c r="E27" i="47"/>
  <c r="F27" i="47"/>
  <c r="G27" i="47"/>
  <c r="H27" i="47"/>
  <c r="I27" i="47"/>
  <c r="J27" i="47"/>
  <c r="K27" i="47"/>
  <c r="L27" i="47"/>
  <c r="M27" i="47"/>
  <c r="N27" i="47"/>
  <c r="O27" i="47"/>
  <c r="P27" i="47"/>
  <c r="D24" i="47"/>
  <c r="E15" i="46"/>
  <c r="D33" i="46"/>
  <c r="D12" i="46"/>
  <c r="E13" i="46"/>
  <c r="F14" i="46"/>
  <c r="C45" i="46"/>
  <c r="E37" i="46"/>
  <c r="E39" i="46"/>
  <c r="E26" i="46"/>
  <c r="F26" i="46"/>
  <c r="G26" i="46"/>
  <c r="H26" i="46"/>
  <c r="I26" i="46"/>
  <c r="J26" i="46"/>
  <c r="K26" i="46"/>
  <c r="L26" i="46"/>
  <c r="M26" i="46"/>
  <c r="N26" i="46"/>
  <c r="O26" i="46"/>
  <c r="P26" i="46"/>
  <c r="C46" i="46"/>
  <c r="C44" i="46"/>
  <c r="C47" i="46"/>
  <c r="D24" i="46"/>
  <c r="C31" i="46"/>
  <c r="C34" i="46"/>
  <c r="D46" i="46"/>
  <c r="E38" i="46"/>
  <c r="D43" i="46"/>
  <c r="E15" i="45"/>
  <c r="D33" i="45"/>
  <c r="C44" i="45"/>
  <c r="C45" i="45"/>
  <c r="C46" i="45"/>
  <c r="C47" i="45"/>
  <c r="C34" i="45"/>
  <c r="D32" i="45"/>
  <c r="E14" i="45"/>
  <c r="D12" i="45"/>
  <c r="E13" i="45"/>
  <c r="E37" i="45"/>
  <c r="E39" i="45"/>
  <c r="D43" i="45"/>
  <c r="D47" i="45"/>
  <c r="D24" i="45"/>
  <c r="E38" i="45"/>
  <c r="E40" i="45"/>
  <c r="D25" i="45"/>
  <c r="E25" i="45"/>
  <c r="F25" i="45"/>
  <c r="G25" i="45"/>
  <c r="H25" i="45"/>
  <c r="I25" i="45"/>
  <c r="J25" i="45"/>
  <c r="K25" i="45"/>
  <c r="L25" i="45"/>
  <c r="M25" i="45"/>
  <c r="N25" i="45"/>
  <c r="O25" i="45"/>
  <c r="P25" i="45"/>
  <c r="D32" i="44"/>
  <c r="E26" i="44"/>
  <c r="F26" i="44"/>
  <c r="G26" i="44"/>
  <c r="H26" i="44"/>
  <c r="I26" i="44"/>
  <c r="J26" i="44"/>
  <c r="K26" i="44"/>
  <c r="L26" i="44"/>
  <c r="M26" i="44"/>
  <c r="N26" i="44"/>
  <c r="O26" i="44"/>
  <c r="P26" i="44"/>
  <c r="F24" i="44"/>
  <c r="E15" i="44"/>
  <c r="D33" i="44"/>
  <c r="C45" i="44"/>
  <c r="E39" i="44"/>
  <c r="C33" i="44"/>
  <c r="C43" i="44"/>
  <c r="D25" i="44"/>
  <c r="D31" i="44"/>
  <c r="D43" i="44"/>
  <c r="D47" i="44"/>
  <c r="C46" i="44"/>
  <c r="D12" i="44"/>
  <c r="E13" i="44"/>
  <c r="F14" i="44"/>
  <c r="E37" i="44"/>
  <c r="C30" i="44"/>
  <c r="C34" i="44"/>
  <c r="E38" i="44"/>
  <c r="C44" i="44"/>
  <c r="E15" i="43"/>
  <c r="D33" i="43"/>
  <c r="D32" i="43"/>
  <c r="E14" i="43"/>
  <c r="D12" i="43"/>
  <c r="E13" i="43"/>
  <c r="C45" i="43"/>
  <c r="E37" i="43"/>
  <c r="E39" i="43"/>
  <c r="C46" i="43"/>
  <c r="E38" i="43"/>
  <c r="E40" i="43"/>
  <c r="C44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D43" i="43"/>
  <c r="D47" i="43"/>
  <c r="D24" i="43"/>
  <c r="E15" i="42"/>
  <c r="D33" i="42"/>
  <c r="C44" i="42"/>
  <c r="C45" i="42"/>
  <c r="C46" i="42"/>
  <c r="C47" i="42"/>
  <c r="D31" i="42"/>
  <c r="D12" i="42"/>
  <c r="E13" i="42"/>
  <c r="E37" i="42"/>
  <c r="E39" i="42"/>
  <c r="E26" i="42"/>
  <c r="F26" i="42"/>
  <c r="G26" i="42"/>
  <c r="H26" i="42"/>
  <c r="I26" i="42"/>
  <c r="J26" i="42"/>
  <c r="K26" i="42"/>
  <c r="L26" i="42"/>
  <c r="M26" i="42"/>
  <c r="N26" i="42"/>
  <c r="O26" i="42"/>
  <c r="P26" i="42"/>
  <c r="D24" i="42"/>
  <c r="C31" i="42"/>
  <c r="C34" i="42"/>
  <c r="D46" i="42"/>
  <c r="E38" i="42"/>
  <c r="D43" i="42"/>
  <c r="D47" i="42"/>
  <c r="E40" i="15"/>
  <c r="D41" i="15"/>
  <c r="C44" i="15"/>
  <c r="D43" i="15"/>
  <c r="D47" i="15"/>
  <c r="C43" i="15"/>
  <c r="C45" i="15"/>
  <c r="C41" i="15"/>
  <c r="E41" i="15"/>
  <c r="E37" i="15"/>
  <c r="E39" i="15"/>
  <c r="E38" i="15"/>
  <c r="C27" i="15"/>
  <c r="D27" i="15"/>
  <c r="E27" i="15"/>
  <c r="F27" i="15"/>
  <c r="G27" i="15"/>
  <c r="H27" i="15"/>
  <c r="I27" i="15"/>
  <c r="J27" i="15"/>
  <c r="K27" i="15"/>
  <c r="L27" i="15"/>
  <c r="M27" i="15"/>
  <c r="C26" i="15"/>
  <c r="D26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C12" i="15"/>
  <c r="B27" i="15"/>
  <c r="B26" i="15"/>
  <c r="B25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B24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1" i="15"/>
  <c r="B20" i="15"/>
  <c r="B19" i="15"/>
  <c r="B18" i="15"/>
  <c r="C13" i="15"/>
  <c r="C31" i="15"/>
  <c r="C14" i="15"/>
  <c r="C15" i="15"/>
  <c r="B2" i="15"/>
  <c r="C34" i="43"/>
  <c r="C47" i="43"/>
  <c r="E32" i="46"/>
  <c r="D15" i="15"/>
  <c r="C33" i="15"/>
  <c r="C32" i="15"/>
  <c r="E32" i="44"/>
  <c r="D30" i="47"/>
  <c r="D32" i="42"/>
  <c r="J26" i="2"/>
  <c r="E31" i="50"/>
  <c r="F13" i="50"/>
  <c r="D31" i="50"/>
  <c r="E32" i="50"/>
  <c r="F14" i="50"/>
  <c r="E33" i="50"/>
  <c r="F15" i="50"/>
  <c r="D30" i="50"/>
  <c r="D16" i="50"/>
  <c r="E12" i="50"/>
  <c r="E24" i="50"/>
  <c r="D28" i="50"/>
  <c r="F13" i="49"/>
  <c r="E25" i="49"/>
  <c r="D28" i="49"/>
  <c r="E33" i="49"/>
  <c r="F15" i="49"/>
  <c r="F32" i="49"/>
  <c r="G14" i="49"/>
  <c r="G24" i="49"/>
  <c r="C34" i="49"/>
  <c r="D31" i="49"/>
  <c r="D30" i="49"/>
  <c r="D16" i="49"/>
  <c r="E12" i="49"/>
  <c r="D47" i="48"/>
  <c r="C47" i="48"/>
  <c r="E24" i="48"/>
  <c r="E30" i="48"/>
  <c r="D28" i="48"/>
  <c r="E31" i="48"/>
  <c r="F13" i="48"/>
  <c r="F32" i="48"/>
  <c r="G14" i="48"/>
  <c r="F12" i="48"/>
  <c r="E16" i="48"/>
  <c r="C34" i="48"/>
  <c r="E33" i="48"/>
  <c r="F15" i="48"/>
  <c r="D30" i="48"/>
  <c r="D34" i="48"/>
  <c r="E33" i="47"/>
  <c r="F15" i="47"/>
  <c r="E16" i="47"/>
  <c r="F12" i="47"/>
  <c r="F31" i="47"/>
  <c r="G13" i="47"/>
  <c r="D31" i="47"/>
  <c r="D34" i="47"/>
  <c r="D47" i="47"/>
  <c r="E24" i="47"/>
  <c r="E30" i="47"/>
  <c r="D28" i="47"/>
  <c r="H14" i="47"/>
  <c r="G32" i="47"/>
  <c r="E31" i="47"/>
  <c r="E32" i="47"/>
  <c r="F32" i="46"/>
  <c r="G14" i="46"/>
  <c r="E31" i="46"/>
  <c r="F13" i="46"/>
  <c r="E24" i="46"/>
  <c r="D28" i="46"/>
  <c r="D30" i="46"/>
  <c r="D34" i="46"/>
  <c r="D16" i="46"/>
  <c r="E12" i="46"/>
  <c r="D47" i="46"/>
  <c r="E33" i="46"/>
  <c r="F15" i="46"/>
  <c r="D30" i="45"/>
  <c r="D16" i="45"/>
  <c r="E12" i="45"/>
  <c r="E32" i="45"/>
  <c r="F14" i="45"/>
  <c r="E24" i="45"/>
  <c r="D28" i="45"/>
  <c r="E33" i="45"/>
  <c r="F15" i="45"/>
  <c r="E31" i="45"/>
  <c r="F13" i="45"/>
  <c r="D31" i="45"/>
  <c r="F15" i="44"/>
  <c r="E33" i="44"/>
  <c r="G24" i="44"/>
  <c r="D30" i="44"/>
  <c r="D34" i="44"/>
  <c r="E12" i="44"/>
  <c r="D16" i="44"/>
  <c r="E25" i="44"/>
  <c r="D28" i="44"/>
  <c r="C47" i="44"/>
  <c r="F32" i="44"/>
  <c r="G14" i="44"/>
  <c r="F13" i="44"/>
  <c r="E31" i="43"/>
  <c r="F13" i="43"/>
  <c r="D30" i="43"/>
  <c r="D31" i="43"/>
  <c r="D34" i="43"/>
  <c r="D16" i="43"/>
  <c r="E12" i="43"/>
  <c r="E32" i="43"/>
  <c r="F14" i="43"/>
  <c r="E24" i="43"/>
  <c r="D28" i="43"/>
  <c r="E33" i="43"/>
  <c r="F15" i="43"/>
  <c r="E24" i="42"/>
  <c r="D28" i="42"/>
  <c r="D30" i="42"/>
  <c r="D16" i="42"/>
  <c r="E12" i="42"/>
  <c r="E32" i="42"/>
  <c r="E31" i="42"/>
  <c r="F13" i="42"/>
  <c r="E33" i="42"/>
  <c r="F15" i="42"/>
  <c r="F32" i="42"/>
  <c r="G14" i="42"/>
  <c r="N27" i="15"/>
  <c r="O27" i="15"/>
  <c r="P27" i="15"/>
  <c r="E15" i="15"/>
  <c r="D33" i="15"/>
  <c r="D12" i="15"/>
  <c r="D30" i="15"/>
  <c r="C30" i="15"/>
  <c r="E26" i="15"/>
  <c r="C47" i="15"/>
  <c r="C28" i="15"/>
  <c r="D28" i="15"/>
  <c r="D14" i="15"/>
  <c r="D32" i="15"/>
  <c r="D13" i="15"/>
  <c r="D31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D34" i="42"/>
  <c r="E34" i="47"/>
  <c r="D34" i="50"/>
  <c r="C34" i="15"/>
  <c r="D34" i="49"/>
  <c r="K26" i="2"/>
  <c r="F33" i="50"/>
  <c r="G15" i="50"/>
  <c r="F32" i="50"/>
  <c r="G14" i="50"/>
  <c r="F24" i="50"/>
  <c r="E28" i="50"/>
  <c r="E16" i="50"/>
  <c r="E30" i="50"/>
  <c r="E34" i="50"/>
  <c r="F12" i="50"/>
  <c r="F31" i="50"/>
  <c r="G13" i="50"/>
  <c r="E16" i="49"/>
  <c r="F12" i="49"/>
  <c r="E30" i="49"/>
  <c r="F33" i="49"/>
  <c r="G15" i="49"/>
  <c r="G32" i="49"/>
  <c r="H14" i="49"/>
  <c r="F25" i="49"/>
  <c r="E28" i="49"/>
  <c r="H24" i="49"/>
  <c r="G13" i="49"/>
  <c r="F31" i="49"/>
  <c r="E31" i="49"/>
  <c r="G13" i="48"/>
  <c r="F31" i="48"/>
  <c r="F24" i="48"/>
  <c r="F30" i="48"/>
  <c r="E28" i="48"/>
  <c r="H14" i="48"/>
  <c r="G32" i="48"/>
  <c r="F33" i="48"/>
  <c r="G15" i="48"/>
  <c r="E34" i="48"/>
  <c r="G12" i="48"/>
  <c r="F16" i="48"/>
  <c r="G12" i="47"/>
  <c r="F16" i="47"/>
  <c r="H13" i="47"/>
  <c r="G31" i="47"/>
  <c r="I14" i="47"/>
  <c r="H32" i="47"/>
  <c r="F24" i="47"/>
  <c r="E28" i="47"/>
  <c r="F33" i="47"/>
  <c r="G15" i="47"/>
  <c r="F24" i="46"/>
  <c r="E28" i="46"/>
  <c r="F31" i="46"/>
  <c r="G13" i="46"/>
  <c r="G32" i="46"/>
  <c r="H14" i="46"/>
  <c r="F33" i="46"/>
  <c r="G15" i="46"/>
  <c r="E16" i="46"/>
  <c r="E30" i="46"/>
  <c r="E34" i="46"/>
  <c r="F12" i="46"/>
  <c r="F24" i="45"/>
  <c r="E28" i="45"/>
  <c r="F32" i="45"/>
  <c r="G14" i="45"/>
  <c r="F31" i="45"/>
  <c r="G13" i="45"/>
  <c r="E16" i="45"/>
  <c r="E30" i="45"/>
  <c r="E34" i="45"/>
  <c r="F12" i="45"/>
  <c r="F33" i="45"/>
  <c r="G15" i="45"/>
  <c r="D34" i="45"/>
  <c r="F25" i="44"/>
  <c r="E28" i="44"/>
  <c r="F31" i="44"/>
  <c r="G13" i="44"/>
  <c r="E16" i="44"/>
  <c r="F12" i="44"/>
  <c r="E30" i="44"/>
  <c r="E31" i="44"/>
  <c r="G32" i="44"/>
  <c r="H14" i="44"/>
  <c r="H24" i="44"/>
  <c r="F33" i="44"/>
  <c r="G15" i="44"/>
  <c r="F33" i="43"/>
  <c r="G15" i="43"/>
  <c r="F24" i="43"/>
  <c r="E28" i="43"/>
  <c r="F32" i="43"/>
  <c r="G14" i="43"/>
  <c r="E16" i="43"/>
  <c r="F12" i="43"/>
  <c r="E30" i="43"/>
  <c r="E34" i="43"/>
  <c r="G13" i="43"/>
  <c r="F31" i="43"/>
  <c r="G13" i="42"/>
  <c r="F31" i="42"/>
  <c r="E16" i="42"/>
  <c r="E30" i="42"/>
  <c r="E34" i="42"/>
  <c r="F12" i="42"/>
  <c r="F33" i="42"/>
  <c r="G15" i="42"/>
  <c r="H14" i="42"/>
  <c r="G32" i="42"/>
  <c r="F24" i="42"/>
  <c r="E28" i="42"/>
  <c r="F15" i="15"/>
  <c r="E33" i="15"/>
  <c r="D34" i="15"/>
  <c r="F26" i="15"/>
  <c r="E12" i="15"/>
  <c r="E30" i="15"/>
  <c r="E28" i="15"/>
  <c r="E13" i="15"/>
  <c r="E31" i="15"/>
  <c r="E14" i="15"/>
  <c r="E32" i="15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G11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B15" i="15"/>
  <c r="B14" i="15"/>
  <c r="B13" i="15"/>
  <c r="B12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C10" i="15"/>
  <c r="B9" i="15"/>
  <c r="B8" i="15"/>
  <c r="B7" i="15"/>
  <c r="B6" i="15"/>
  <c r="E34" i="49"/>
  <c r="F11" i="1"/>
  <c r="L26" i="2"/>
  <c r="F28" i="50"/>
  <c r="G24" i="50"/>
  <c r="H13" i="50"/>
  <c r="G31" i="50"/>
  <c r="G32" i="50"/>
  <c r="H14" i="50"/>
  <c r="G33" i="50"/>
  <c r="H15" i="50"/>
  <c r="G12" i="50"/>
  <c r="F16" i="50"/>
  <c r="F30" i="50"/>
  <c r="F34" i="50"/>
  <c r="G25" i="49"/>
  <c r="G31" i="49"/>
  <c r="F28" i="49"/>
  <c r="H32" i="49"/>
  <c r="I14" i="49"/>
  <c r="G33" i="49"/>
  <c r="H15" i="49"/>
  <c r="H13" i="49"/>
  <c r="I24" i="49"/>
  <c r="F30" i="49"/>
  <c r="F34" i="49"/>
  <c r="F16" i="49"/>
  <c r="G12" i="49"/>
  <c r="I14" i="48"/>
  <c r="H32" i="48"/>
  <c r="G33" i="48"/>
  <c r="H15" i="48"/>
  <c r="F28" i="48"/>
  <c r="G24" i="48"/>
  <c r="G30" i="48"/>
  <c r="G16" i="48"/>
  <c r="H12" i="48"/>
  <c r="F34" i="48"/>
  <c r="H13" i="48"/>
  <c r="G31" i="48"/>
  <c r="F28" i="47"/>
  <c r="G24" i="47"/>
  <c r="G30" i="47"/>
  <c r="G33" i="47"/>
  <c r="G34" i="47"/>
  <c r="I32" i="47"/>
  <c r="J14" i="47"/>
  <c r="I13" i="47"/>
  <c r="H31" i="47"/>
  <c r="H15" i="47"/>
  <c r="F30" i="47"/>
  <c r="F34" i="47"/>
  <c r="G16" i="47"/>
  <c r="H12" i="47"/>
  <c r="G33" i="46"/>
  <c r="H15" i="46"/>
  <c r="I14" i="46"/>
  <c r="H32" i="46"/>
  <c r="H13" i="46"/>
  <c r="G31" i="46"/>
  <c r="G12" i="46"/>
  <c r="F16" i="46"/>
  <c r="F30" i="46"/>
  <c r="F34" i="46"/>
  <c r="F28" i="46"/>
  <c r="G24" i="46"/>
  <c r="H13" i="45"/>
  <c r="G31" i="45"/>
  <c r="G32" i="45"/>
  <c r="H14" i="45"/>
  <c r="G33" i="45"/>
  <c r="H15" i="45"/>
  <c r="F16" i="45"/>
  <c r="G12" i="45"/>
  <c r="F30" i="45"/>
  <c r="F34" i="45"/>
  <c r="F28" i="45"/>
  <c r="G24" i="45"/>
  <c r="E34" i="44"/>
  <c r="G33" i="44"/>
  <c r="H15" i="44"/>
  <c r="F16" i="44"/>
  <c r="G12" i="44"/>
  <c r="F30" i="44"/>
  <c r="F34" i="44"/>
  <c r="H13" i="44"/>
  <c r="I24" i="44"/>
  <c r="H32" i="44"/>
  <c r="I14" i="44"/>
  <c r="G25" i="44"/>
  <c r="G31" i="44"/>
  <c r="F28" i="44"/>
  <c r="F16" i="43"/>
  <c r="G12" i="43"/>
  <c r="F30" i="43"/>
  <c r="F34" i="43"/>
  <c r="H14" i="43"/>
  <c r="G32" i="43"/>
  <c r="F28" i="43"/>
  <c r="G24" i="43"/>
  <c r="H13" i="43"/>
  <c r="G31" i="43"/>
  <c r="G33" i="43"/>
  <c r="H15" i="43"/>
  <c r="G33" i="42"/>
  <c r="H15" i="42"/>
  <c r="G12" i="42"/>
  <c r="F16" i="42"/>
  <c r="F30" i="42"/>
  <c r="F34" i="42"/>
  <c r="I14" i="42"/>
  <c r="H32" i="42"/>
  <c r="F28" i="42"/>
  <c r="G24" i="42"/>
  <c r="H13" i="42"/>
  <c r="G31" i="42"/>
  <c r="G15" i="15"/>
  <c r="F33" i="15"/>
  <c r="E34" i="15"/>
  <c r="G26" i="15"/>
  <c r="F14" i="15"/>
  <c r="F32" i="15"/>
  <c r="F13" i="15"/>
  <c r="F31" i="15"/>
  <c r="F12" i="15"/>
  <c r="F30" i="15"/>
  <c r="D16" i="15"/>
  <c r="C16" i="15"/>
  <c r="B2" i="2"/>
  <c r="G34" i="48"/>
  <c r="M26" i="2"/>
  <c r="H33" i="50"/>
  <c r="I15" i="50"/>
  <c r="I14" i="50"/>
  <c r="H32" i="50"/>
  <c r="I13" i="50"/>
  <c r="H31" i="50"/>
  <c r="G28" i="50"/>
  <c r="H24" i="50"/>
  <c r="G16" i="50"/>
  <c r="H12" i="50"/>
  <c r="G30" i="50"/>
  <c r="G34" i="50"/>
  <c r="I13" i="49"/>
  <c r="I15" i="49"/>
  <c r="H33" i="49"/>
  <c r="G16" i="49"/>
  <c r="H12" i="49"/>
  <c r="G30" i="49"/>
  <c r="G34" i="49"/>
  <c r="J14" i="49"/>
  <c r="I32" i="49"/>
  <c r="J24" i="49"/>
  <c r="H25" i="49"/>
  <c r="G28" i="49"/>
  <c r="I15" i="48"/>
  <c r="H33" i="48"/>
  <c r="H31" i="48"/>
  <c r="I13" i="48"/>
  <c r="I12" i="48"/>
  <c r="H24" i="48"/>
  <c r="H30" i="48"/>
  <c r="H34" i="48"/>
  <c r="H16" i="48"/>
  <c r="I32" i="48"/>
  <c r="J14" i="48"/>
  <c r="G28" i="48"/>
  <c r="J13" i="47"/>
  <c r="I31" i="47"/>
  <c r="I15" i="47"/>
  <c r="H33" i="47"/>
  <c r="I12" i="47"/>
  <c r="H16" i="47"/>
  <c r="H24" i="47"/>
  <c r="G28" i="47"/>
  <c r="K14" i="47"/>
  <c r="J32" i="47"/>
  <c r="J14" i="46"/>
  <c r="I32" i="46"/>
  <c r="G16" i="46"/>
  <c r="H12" i="46"/>
  <c r="G30" i="46"/>
  <c r="G34" i="46"/>
  <c r="I13" i="46"/>
  <c r="H31" i="46"/>
  <c r="G28" i="46"/>
  <c r="H24" i="46"/>
  <c r="H33" i="46"/>
  <c r="I15" i="46"/>
  <c r="H33" i="45"/>
  <c r="I15" i="45"/>
  <c r="I14" i="45"/>
  <c r="H32" i="45"/>
  <c r="G16" i="45"/>
  <c r="H12" i="45"/>
  <c r="G30" i="45"/>
  <c r="G34" i="45"/>
  <c r="G28" i="45"/>
  <c r="H24" i="45"/>
  <c r="I13" i="45"/>
  <c r="H31" i="45"/>
  <c r="I13" i="44"/>
  <c r="J14" i="44"/>
  <c r="I32" i="44"/>
  <c r="H25" i="44"/>
  <c r="H31" i="44"/>
  <c r="G28" i="44"/>
  <c r="G16" i="44"/>
  <c r="H12" i="44"/>
  <c r="G30" i="44"/>
  <c r="G34" i="44"/>
  <c r="I15" i="44"/>
  <c r="H33" i="44"/>
  <c r="J24" i="44"/>
  <c r="I14" i="43"/>
  <c r="H32" i="43"/>
  <c r="I15" i="43"/>
  <c r="H33" i="43"/>
  <c r="G16" i="43"/>
  <c r="H12" i="43"/>
  <c r="G30" i="43"/>
  <c r="G34" i="43"/>
  <c r="I13" i="43"/>
  <c r="H31" i="43"/>
  <c r="G28" i="43"/>
  <c r="H24" i="43"/>
  <c r="J14" i="42"/>
  <c r="I32" i="42"/>
  <c r="I15" i="42"/>
  <c r="H33" i="42"/>
  <c r="G16" i="42"/>
  <c r="H12" i="42"/>
  <c r="G30" i="42"/>
  <c r="G34" i="42"/>
  <c r="I13" i="42"/>
  <c r="H31" i="42"/>
  <c r="G28" i="42"/>
  <c r="H24" i="42"/>
  <c r="H15" i="15"/>
  <c r="G33" i="15"/>
  <c r="F34" i="15"/>
  <c r="H26" i="15"/>
  <c r="F28" i="15"/>
  <c r="G12" i="15"/>
  <c r="G30" i="15"/>
  <c r="G28" i="15"/>
  <c r="G13" i="15"/>
  <c r="G31" i="15"/>
  <c r="G14" i="15"/>
  <c r="G32" i="15"/>
  <c r="C26" i="1"/>
  <c r="C27" i="1"/>
  <c r="B46" i="2"/>
  <c r="B45" i="2"/>
  <c r="B44" i="2"/>
  <c r="B43" i="2"/>
  <c r="B40" i="2"/>
  <c r="B39" i="2"/>
  <c r="B38" i="2"/>
  <c r="B37" i="2"/>
  <c r="C13" i="2"/>
  <c r="C31" i="2"/>
  <c r="C14" i="2"/>
  <c r="C32" i="2"/>
  <c r="C15" i="2"/>
  <c r="C33" i="2"/>
  <c r="C12" i="2"/>
  <c r="C3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C10" i="2"/>
  <c r="B15" i="2"/>
  <c r="B14" i="2"/>
  <c r="B13" i="2"/>
  <c r="B12" i="2"/>
  <c r="B33" i="2"/>
  <c r="B32" i="2"/>
  <c r="B31" i="2"/>
  <c r="B30" i="2"/>
  <c r="B9" i="2"/>
  <c r="B8" i="2"/>
  <c r="B7" i="2"/>
  <c r="B6" i="2"/>
  <c r="B22" i="1"/>
  <c r="B21" i="1"/>
  <c r="B20" i="1"/>
  <c r="B19" i="1"/>
  <c r="B28" i="1"/>
  <c r="B27" i="1"/>
  <c r="B26" i="1"/>
  <c r="B25" i="1"/>
  <c r="B10" i="1"/>
  <c r="B9" i="1"/>
  <c r="B8" i="1"/>
  <c r="B7" i="1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N5" i="1"/>
  <c r="O5" i="1"/>
  <c r="P5" i="1"/>
  <c r="Q5" i="1"/>
  <c r="R5" i="1"/>
  <c r="S5" i="1"/>
  <c r="T5" i="1"/>
  <c r="U5" i="1"/>
  <c r="V5" i="1"/>
  <c r="W5" i="1"/>
  <c r="X5" i="1"/>
  <c r="Y5" i="1"/>
  <c r="C5" i="1"/>
  <c r="D5" i="1"/>
  <c r="E5" i="1"/>
  <c r="F5" i="1"/>
  <c r="G5" i="1"/>
  <c r="H5" i="1"/>
  <c r="I5" i="1"/>
  <c r="J5" i="1"/>
  <c r="K5" i="1"/>
  <c r="L5" i="1"/>
  <c r="M5" i="1"/>
  <c r="N26" i="2"/>
  <c r="D12" i="2"/>
  <c r="D30" i="2"/>
  <c r="D15" i="2"/>
  <c r="D33" i="2"/>
  <c r="D14" i="2"/>
  <c r="D32" i="2"/>
  <c r="D13" i="2"/>
  <c r="E11" i="1"/>
  <c r="D26" i="1"/>
  <c r="C28" i="1"/>
  <c r="D11" i="1"/>
  <c r="H28" i="50"/>
  <c r="I24" i="50"/>
  <c r="I31" i="50"/>
  <c r="J13" i="50"/>
  <c r="J14" i="50"/>
  <c r="I32" i="50"/>
  <c r="H30" i="50"/>
  <c r="H34" i="50"/>
  <c r="I12" i="50"/>
  <c r="H16" i="50"/>
  <c r="J15" i="50"/>
  <c r="I33" i="50"/>
  <c r="K14" i="49"/>
  <c r="J32" i="49"/>
  <c r="I12" i="49"/>
  <c r="H30" i="49"/>
  <c r="H16" i="49"/>
  <c r="I25" i="49"/>
  <c r="I31" i="49"/>
  <c r="H28" i="49"/>
  <c r="H31" i="49"/>
  <c r="K24" i="49"/>
  <c r="I33" i="49"/>
  <c r="J15" i="49"/>
  <c r="J13" i="49"/>
  <c r="J12" i="48"/>
  <c r="I16" i="48"/>
  <c r="I31" i="48"/>
  <c r="J13" i="48"/>
  <c r="H28" i="48"/>
  <c r="I24" i="48"/>
  <c r="J32" i="48"/>
  <c r="K14" i="48"/>
  <c r="J15" i="48"/>
  <c r="I33" i="48"/>
  <c r="J12" i="47"/>
  <c r="I16" i="47"/>
  <c r="H28" i="47"/>
  <c r="I24" i="47"/>
  <c r="H30" i="47"/>
  <c r="H34" i="47"/>
  <c r="J15" i="47"/>
  <c r="I33" i="47"/>
  <c r="L14" i="47"/>
  <c r="K32" i="47"/>
  <c r="K13" i="47"/>
  <c r="J31" i="47"/>
  <c r="H30" i="46"/>
  <c r="H34" i="46"/>
  <c r="I12" i="46"/>
  <c r="H16" i="46"/>
  <c r="J13" i="46"/>
  <c r="I31" i="46"/>
  <c r="J15" i="46"/>
  <c r="I33" i="46"/>
  <c r="H28" i="46"/>
  <c r="I24" i="46"/>
  <c r="K14" i="46"/>
  <c r="J32" i="46"/>
  <c r="J14" i="45"/>
  <c r="I32" i="45"/>
  <c r="I12" i="45"/>
  <c r="H30" i="45"/>
  <c r="H34" i="45"/>
  <c r="H16" i="45"/>
  <c r="J13" i="45"/>
  <c r="I31" i="45"/>
  <c r="J15" i="45"/>
  <c r="I33" i="45"/>
  <c r="H28" i="45"/>
  <c r="I24" i="45"/>
  <c r="H16" i="44"/>
  <c r="I12" i="44"/>
  <c r="H30" i="44"/>
  <c r="H34" i="44"/>
  <c r="K24" i="44"/>
  <c r="I33" i="44"/>
  <c r="J15" i="44"/>
  <c r="I25" i="44"/>
  <c r="I31" i="44"/>
  <c r="H28" i="44"/>
  <c r="K14" i="44"/>
  <c r="J32" i="44"/>
  <c r="J13" i="44"/>
  <c r="I31" i="43"/>
  <c r="J13" i="43"/>
  <c r="I12" i="43"/>
  <c r="H30" i="43"/>
  <c r="H34" i="43"/>
  <c r="H16" i="43"/>
  <c r="H28" i="43"/>
  <c r="I24" i="43"/>
  <c r="J15" i="43"/>
  <c r="I33" i="43"/>
  <c r="J14" i="43"/>
  <c r="I32" i="43"/>
  <c r="H30" i="42"/>
  <c r="H34" i="42"/>
  <c r="I12" i="42"/>
  <c r="H16" i="42"/>
  <c r="I31" i="42"/>
  <c r="J13" i="42"/>
  <c r="H28" i="42"/>
  <c r="I24" i="42"/>
  <c r="J15" i="42"/>
  <c r="I33" i="42"/>
  <c r="K14" i="42"/>
  <c r="J32" i="42"/>
  <c r="I15" i="15"/>
  <c r="H33" i="15"/>
  <c r="G34" i="15"/>
  <c r="I26" i="15"/>
  <c r="H12" i="15"/>
  <c r="H30" i="15"/>
  <c r="H28" i="15"/>
  <c r="H14" i="15"/>
  <c r="H32" i="15"/>
  <c r="H13" i="15"/>
  <c r="H31" i="15"/>
  <c r="F39" i="2"/>
  <c r="C43" i="2"/>
  <c r="E16" i="15"/>
  <c r="F38" i="2"/>
  <c r="F40" i="2"/>
  <c r="F37" i="2"/>
  <c r="E41" i="2"/>
  <c r="E44" i="2"/>
  <c r="E45" i="2"/>
  <c r="E46" i="2"/>
  <c r="D44" i="2"/>
  <c r="C45" i="2"/>
  <c r="D45" i="2"/>
  <c r="C44" i="2"/>
  <c r="D46" i="2"/>
  <c r="C46" i="2"/>
  <c r="E43" i="2"/>
  <c r="C41" i="2"/>
  <c r="D43" i="2"/>
  <c r="D41" i="2"/>
  <c r="C16" i="2"/>
  <c r="D16" i="2"/>
  <c r="D31" i="2"/>
  <c r="O26" i="2"/>
  <c r="E26" i="1"/>
  <c r="D28" i="2"/>
  <c r="E13" i="2"/>
  <c r="E31" i="2"/>
  <c r="D34" i="2"/>
  <c r="E15" i="2"/>
  <c r="E33" i="2"/>
  <c r="E14" i="2"/>
  <c r="E32" i="2"/>
  <c r="E12" i="2"/>
  <c r="E30" i="2"/>
  <c r="E28" i="2"/>
  <c r="C25" i="1"/>
  <c r="C11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D28" i="1"/>
  <c r="K14" i="50"/>
  <c r="J32" i="50"/>
  <c r="K13" i="50"/>
  <c r="J31" i="50"/>
  <c r="J12" i="50"/>
  <c r="I30" i="50"/>
  <c r="I34" i="50"/>
  <c r="I16" i="50"/>
  <c r="K15" i="50"/>
  <c r="J33" i="50"/>
  <c r="J24" i="50"/>
  <c r="I28" i="50"/>
  <c r="J25" i="49"/>
  <c r="I28" i="49"/>
  <c r="J12" i="49"/>
  <c r="I16" i="49"/>
  <c r="I30" i="49"/>
  <c r="I34" i="49"/>
  <c r="K13" i="49"/>
  <c r="J31" i="49"/>
  <c r="K15" i="49"/>
  <c r="J33" i="49"/>
  <c r="H34" i="49"/>
  <c r="L24" i="49"/>
  <c r="L14" i="49"/>
  <c r="K32" i="49"/>
  <c r="I28" i="48"/>
  <c r="J24" i="48"/>
  <c r="J30" i="48"/>
  <c r="K13" i="48"/>
  <c r="J31" i="48"/>
  <c r="J33" i="48"/>
  <c r="K15" i="48"/>
  <c r="I30" i="48"/>
  <c r="I34" i="48"/>
  <c r="L14" i="48"/>
  <c r="K32" i="48"/>
  <c r="J16" i="48"/>
  <c r="K12" i="48"/>
  <c r="K15" i="47"/>
  <c r="J33" i="47"/>
  <c r="J24" i="47"/>
  <c r="J30" i="47"/>
  <c r="J34" i="47"/>
  <c r="I28" i="47"/>
  <c r="L13" i="47"/>
  <c r="K31" i="47"/>
  <c r="I30" i="47"/>
  <c r="I34" i="47"/>
  <c r="M14" i="47"/>
  <c r="L32" i="47"/>
  <c r="K12" i="47"/>
  <c r="J16" i="47"/>
  <c r="K15" i="46"/>
  <c r="J33" i="46"/>
  <c r="L14" i="46"/>
  <c r="K32" i="46"/>
  <c r="J12" i="46"/>
  <c r="I30" i="46"/>
  <c r="I34" i="46"/>
  <c r="I16" i="46"/>
  <c r="K13" i="46"/>
  <c r="J31" i="46"/>
  <c r="I28" i="46"/>
  <c r="J24" i="46"/>
  <c r="K15" i="45"/>
  <c r="J33" i="45"/>
  <c r="K13" i="45"/>
  <c r="J31" i="45"/>
  <c r="I28" i="45"/>
  <c r="J24" i="45"/>
  <c r="J12" i="45"/>
  <c r="I30" i="45"/>
  <c r="I34" i="45"/>
  <c r="I16" i="45"/>
  <c r="K14" i="45"/>
  <c r="J32" i="45"/>
  <c r="K15" i="44"/>
  <c r="J33" i="44"/>
  <c r="K13" i="44"/>
  <c r="J25" i="44"/>
  <c r="J31" i="44"/>
  <c r="I28" i="44"/>
  <c r="L24" i="44"/>
  <c r="L14" i="44"/>
  <c r="K32" i="44"/>
  <c r="J12" i="44"/>
  <c r="I16" i="44"/>
  <c r="I30" i="44"/>
  <c r="I34" i="44"/>
  <c r="K15" i="43"/>
  <c r="J33" i="43"/>
  <c r="J24" i="43"/>
  <c r="I28" i="43"/>
  <c r="K14" i="43"/>
  <c r="J32" i="43"/>
  <c r="K13" i="43"/>
  <c r="J31" i="43"/>
  <c r="J12" i="43"/>
  <c r="I30" i="43"/>
  <c r="I34" i="43"/>
  <c r="I16" i="43"/>
  <c r="K15" i="42"/>
  <c r="J33" i="42"/>
  <c r="I28" i="42"/>
  <c r="J24" i="42"/>
  <c r="K13" i="42"/>
  <c r="J31" i="42"/>
  <c r="L14" i="42"/>
  <c r="K32" i="42"/>
  <c r="J12" i="42"/>
  <c r="I30" i="42"/>
  <c r="I34" i="42"/>
  <c r="I16" i="42"/>
  <c r="J15" i="15"/>
  <c r="I33" i="15"/>
  <c r="H34" i="15"/>
  <c r="J26" i="15"/>
  <c r="I13" i="15"/>
  <c r="I31" i="15"/>
  <c r="I12" i="15"/>
  <c r="I30" i="15"/>
  <c r="I14" i="15"/>
  <c r="I32" i="15"/>
  <c r="D27" i="1"/>
  <c r="E27" i="1"/>
  <c r="G16" i="15"/>
  <c r="F16" i="15"/>
  <c r="F41" i="2"/>
  <c r="E47" i="2"/>
  <c r="C34" i="2"/>
  <c r="C47" i="2"/>
  <c r="D47" i="2"/>
  <c r="P26" i="2"/>
  <c r="F15" i="2"/>
  <c r="F33" i="2"/>
  <c r="D25" i="1"/>
  <c r="F14" i="2"/>
  <c r="F32" i="2"/>
  <c r="F12" i="2"/>
  <c r="F30" i="2"/>
  <c r="E16" i="2"/>
  <c r="F28" i="2"/>
  <c r="F13" i="2"/>
  <c r="F31" i="2"/>
  <c r="C29" i="1"/>
  <c r="D29" i="1"/>
  <c r="E28" i="1"/>
  <c r="L15" i="50"/>
  <c r="K33" i="50"/>
  <c r="K31" i="50"/>
  <c r="L13" i="50"/>
  <c r="J30" i="50"/>
  <c r="J34" i="50"/>
  <c r="J16" i="50"/>
  <c r="K12" i="50"/>
  <c r="K24" i="50"/>
  <c r="J28" i="50"/>
  <c r="L14" i="50"/>
  <c r="K32" i="50"/>
  <c r="L15" i="49"/>
  <c r="K33" i="49"/>
  <c r="L13" i="49"/>
  <c r="J30" i="49"/>
  <c r="J34" i="49"/>
  <c r="J16" i="49"/>
  <c r="K12" i="49"/>
  <c r="L32" i="49"/>
  <c r="M14" i="49"/>
  <c r="M24" i="49"/>
  <c r="K25" i="49"/>
  <c r="K31" i="49"/>
  <c r="J28" i="49"/>
  <c r="L32" i="48"/>
  <c r="M14" i="48"/>
  <c r="K33" i="48"/>
  <c r="L15" i="48"/>
  <c r="K16" i="48"/>
  <c r="L12" i="48"/>
  <c r="J34" i="48"/>
  <c r="K31" i="48"/>
  <c r="L13" i="48"/>
  <c r="J28" i="48"/>
  <c r="K24" i="48"/>
  <c r="K30" i="48"/>
  <c r="K34" i="48"/>
  <c r="L31" i="47"/>
  <c r="M13" i="47"/>
  <c r="M32" i="47"/>
  <c r="N14" i="47"/>
  <c r="K16" i="47"/>
  <c r="L12" i="47"/>
  <c r="J28" i="47"/>
  <c r="K24" i="47"/>
  <c r="K30" i="47"/>
  <c r="K33" i="47"/>
  <c r="K34" i="47"/>
  <c r="L15" i="47"/>
  <c r="K31" i="46"/>
  <c r="L13" i="46"/>
  <c r="J30" i="46"/>
  <c r="J34" i="46"/>
  <c r="J16" i="46"/>
  <c r="K12" i="46"/>
  <c r="J28" i="46"/>
  <c r="K24" i="46"/>
  <c r="L32" i="46"/>
  <c r="M14" i="46"/>
  <c r="K33" i="46"/>
  <c r="L15" i="46"/>
  <c r="J30" i="45"/>
  <c r="J34" i="45"/>
  <c r="J16" i="45"/>
  <c r="K12" i="45"/>
  <c r="K31" i="45"/>
  <c r="L13" i="45"/>
  <c r="J28" i="45"/>
  <c r="K24" i="45"/>
  <c r="L14" i="45"/>
  <c r="K32" i="45"/>
  <c r="K33" i="45"/>
  <c r="L15" i="45"/>
  <c r="K25" i="44"/>
  <c r="J28" i="44"/>
  <c r="M24" i="44"/>
  <c r="K12" i="44"/>
  <c r="J30" i="44"/>
  <c r="J34" i="44"/>
  <c r="J16" i="44"/>
  <c r="K31" i="44"/>
  <c r="L13" i="44"/>
  <c r="L32" i="44"/>
  <c r="M14" i="44"/>
  <c r="L15" i="44"/>
  <c r="K33" i="44"/>
  <c r="K24" i="43"/>
  <c r="J28" i="43"/>
  <c r="K31" i="43"/>
  <c r="L13" i="43"/>
  <c r="L14" i="43"/>
  <c r="K32" i="43"/>
  <c r="J30" i="43"/>
  <c r="J34" i="43"/>
  <c r="J16" i="43"/>
  <c r="K12" i="43"/>
  <c r="L15" i="43"/>
  <c r="K33" i="43"/>
  <c r="L32" i="42"/>
  <c r="M14" i="42"/>
  <c r="K31" i="42"/>
  <c r="L13" i="42"/>
  <c r="J28" i="42"/>
  <c r="K24" i="42"/>
  <c r="J30" i="42"/>
  <c r="J34" i="42"/>
  <c r="J16" i="42"/>
  <c r="K12" i="42"/>
  <c r="K33" i="42"/>
  <c r="L15" i="42"/>
  <c r="K15" i="15"/>
  <c r="J33" i="15"/>
  <c r="I34" i="15"/>
  <c r="K26" i="15"/>
  <c r="J14" i="15"/>
  <c r="J32" i="15"/>
  <c r="I28" i="15"/>
  <c r="J12" i="15"/>
  <c r="J30" i="15"/>
  <c r="J13" i="15"/>
  <c r="J31" i="15"/>
  <c r="F26" i="1"/>
  <c r="F27" i="1"/>
  <c r="Q26" i="2"/>
  <c r="G12" i="2"/>
  <c r="G30" i="2"/>
  <c r="G14" i="2"/>
  <c r="G32" i="2"/>
  <c r="E34" i="2"/>
  <c r="E29" i="1"/>
  <c r="F16" i="2"/>
  <c r="G13" i="2"/>
  <c r="G31" i="2"/>
  <c r="F34" i="2"/>
  <c r="G15" i="2"/>
  <c r="G33" i="2"/>
  <c r="F28" i="1"/>
  <c r="K28" i="50"/>
  <c r="L24" i="50"/>
  <c r="K30" i="50"/>
  <c r="K34" i="50"/>
  <c r="L12" i="50"/>
  <c r="K16" i="50"/>
  <c r="L32" i="50"/>
  <c r="M14" i="50"/>
  <c r="L31" i="50"/>
  <c r="M13" i="50"/>
  <c r="M15" i="50"/>
  <c r="L33" i="50"/>
  <c r="M13" i="49"/>
  <c r="K30" i="49"/>
  <c r="K34" i="49"/>
  <c r="L12" i="49"/>
  <c r="K16" i="49"/>
  <c r="L25" i="49"/>
  <c r="K28" i="49"/>
  <c r="N24" i="49"/>
  <c r="N14" i="49"/>
  <c r="M32" i="49"/>
  <c r="M15" i="49"/>
  <c r="L33" i="49"/>
  <c r="L16" i="48"/>
  <c r="M12" i="48"/>
  <c r="K28" i="48"/>
  <c r="L24" i="48"/>
  <c r="L31" i="48"/>
  <c r="M13" i="48"/>
  <c r="M32" i="48"/>
  <c r="N14" i="48"/>
  <c r="M15" i="48"/>
  <c r="L33" i="48"/>
  <c r="L16" i="47"/>
  <c r="M12" i="47"/>
  <c r="M15" i="47"/>
  <c r="L33" i="47"/>
  <c r="M31" i="47"/>
  <c r="N13" i="47"/>
  <c r="N32" i="47"/>
  <c r="O14" i="47"/>
  <c r="K28" i="47"/>
  <c r="L24" i="47"/>
  <c r="K28" i="46"/>
  <c r="L24" i="46"/>
  <c r="K30" i="46"/>
  <c r="K34" i="46"/>
  <c r="L12" i="46"/>
  <c r="K16" i="46"/>
  <c r="L31" i="46"/>
  <c r="M13" i="46"/>
  <c r="M15" i="46"/>
  <c r="L33" i="46"/>
  <c r="M32" i="46"/>
  <c r="N14" i="46"/>
  <c r="K28" i="45"/>
  <c r="L24" i="45"/>
  <c r="L31" i="45"/>
  <c r="M13" i="45"/>
  <c r="M15" i="45"/>
  <c r="L33" i="45"/>
  <c r="K16" i="45"/>
  <c r="K30" i="45"/>
  <c r="K34" i="45"/>
  <c r="L12" i="45"/>
  <c r="L32" i="45"/>
  <c r="M14" i="45"/>
  <c r="K30" i="44"/>
  <c r="K34" i="44"/>
  <c r="K16" i="44"/>
  <c r="L12" i="44"/>
  <c r="M15" i="44"/>
  <c r="L33" i="44"/>
  <c r="N24" i="44"/>
  <c r="M32" i="44"/>
  <c r="N14" i="44"/>
  <c r="M13" i="44"/>
  <c r="L25" i="44"/>
  <c r="L31" i="44"/>
  <c r="K28" i="44"/>
  <c r="L32" i="43"/>
  <c r="M14" i="43"/>
  <c r="L31" i="43"/>
  <c r="M13" i="43"/>
  <c r="M15" i="43"/>
  <c r="L33" i="43"/>
  <c r="K30" i="43"/>
  <c r="K34" i="43"/>
  <c r="K16" i="43"/>
  <c r="L12" i="43"/>
  <c r="K28" i="43"/>
  <c r="L24" i="43"/>
  <c r="K28" i="42"/>
  <c r="L24" i="42"/>
  <c r="M15" i="42"/>
  <c r="L33" i="42"/>
  <c r="L31" i="42"/>
  <c r="M13" i="42"/>
  <c r="M32" i="42"/>
  <c r="N14" i="42"/>
  <c r="K30" i="42"/>
  <c r="K34" i="42"/>
  <c r="K16" i="42"/>
  <c r="L12" i="42"/>
  <c r="L15" i="15"/>
  <c r="K33" i="15"/>
  <c r="J34" i="15"/>
  <c r="L26" i="15"/>
  <c r="K13" i="15"/>
  <c r="K31" i="15"/>
  <c r="J28" i="15"/>
  <c r="K12" i="15"/>
  <c r="K30" i="15"/>
  <c r="K14" i="15"/>
  <c r="K32" i="15"/>
  <c r="E25" i="1"/>
  <c r="G27" i="1"/>
  <c r="G26" i="1"/>
  <c r="I16" i="15"/>
  <c r="H16" i="15"/>
  <c r="R26" i="2"/>
  <c r="F29" i="1"/>
  <c r="H13" i="2"/>
  <c r="H31" i="2"/>
  <c r="H15" i="2"/>
  <c r="H33" i="2"/>
  <c r="H12" i="2"/>
  <c r="H30" i="2"/>
  <c r="G16" i="2"/>
  <c r="H14" i="2"/>
  <c r="H32" i="2"/>
  <c r="G28" i="2"/>
  <c r="G28" i="1"/>
  <c r="M32" i="50"/>
  <c r="N14" i="50"/>
  <c r="L30" i="50"/>
  <c r="L34" i="50"/>
  <c r="L16" i="50"/>
  <c r="M12" i="50"/>
  <c r="M33" i="50"/>
  <c r="N15" i="50"/>
  <c r="M24" i="50"/>
  <c r="L28" i="50"/>
  <c r="M31" i="50"/>
  <c r="N13" i="50"/>
  <c r="M25" i="49"/>
  <c r="M31" i="49"/>
  <c r="L28" i="49"/>
  <c r="O24" i="49"/>
  <c r="M33" i="49"/>
  <c r="N15" i="49"/>
  <c r="N13" i="49"/>
  <c r="L30" i="49"/>
  <c r="M12" i="49"/>
  <c r="L16" i="49"/>
  <c r="N32" i="49"/>
  <c r="O14" i="49"/>
  <c r="L31" i="49"/>
  <c r="M31" i="48"/>
  <c r="N13" i="48"/>
  <c r="M16" i="48"/>
  <c r="N12" i="48"/>
  <c r="M33" i="48"/>
  <c r="N15" i="48"/>
  <c r="M24" i="48"/>
  <c r="L28" i="48"/>
  <c r="N32" i="48"/>
  <c r="O14" i="48"/>
  <c r="L30" i="48"/>
  <c r="L34" i="48"/>
  <c r="O13" i="47"/>
  <c r="N31" i="47"/>
  <c r="N15" i="47"/>
  <c r="M33" i="47"/>
  <c r="N12" i="47"/>
  <c r="M16" i="47"/>
  <c r="M24" i="47"/>
  <c r="L28" i="47"/>
  <c r="P14" i="47"/>
  <c r="P32" i="47"/>
  <c r="O32" i="47"/>
  <c r="L30" i="47"/>
  <c r="L34" i="47"/>
  <c r="M33" i="46"/>
  <c r="N15" i="46"/>
  <c r="M31" i="46"/>
  <c r="N13" i="46"/>
  <c r="L30" i="46"/>
  <c r="L34" i="46"/>
  <c r="L16" i="46"/>
  <c r="M12" i="46"/>
  <c r="N32" i="46"/>
  <c r="O14" i="46"/>
  <c r="M24" i="46"/>
  <c r="L28" i="46"/>
  <c r="M32" i="45"/>
  <c r="N14" i="45"/>
  <c r="M31" i="45"/>
  <c r="N13" i="45"/>
  <c r="M24" i="45"/>
  <c r="L28" i="45"/>
  <c r="M33" i="45"/>
  <c r="N15" i="45"/>
  <c r="L30" i="45"/>
  <c r="L34" i="45"/>
  <c r="L16" i="45"/>
  <c r="M12" i="45"/>
  <c r="O24" i="44"/>
  <c r="N15" i="44"/>
  <c r="M33" i="44"/>
  <c r="M25" i="44"/>
  <c r="L28" i="44"/>
  <c r="L30" i="44"/>
  <c r="L34" i="44"/>
  <c r="M12" i="44"/>
  <c r="L16" i="44"/>
  <c r="N13" i="44"/>
  <c r="N32" i="44"/>
  <c r="O14" i="44"/>
  <c r="M33" i="43"/>
  <c r="N15" i="43"/>
  <c r="M32" i="43"/>
  <c r="N14" i="43"/>
  <c r="M31" i="43"/>
  <c r="N13" i="43"/>
  <c r="M24" i="43"/>
  <c r="L28" i="43"/>
  <c r="L30" i="43"/>
  <c r="L34" i="43"/>
  <c r="L16" i="43"/>
  <c r="M12" i="43"/>
  <c r="N32" i="42"/>
  <c r="O14" i="42"/>
  <c r="M31" i="42"/>
  <c r="N13" i="42"/>
  <c r="M24" i="42"/>
  <c r="L28" i="42"/>
  <c r="L30" i="42"/>
  <c r="L34" i="42"/>
  <c r="L16" i="42"/>
  <c r="M12" i="42"/>
  <c r="M33" i="42"/>
  <c r="N15" i="42"/>
  <c r="M15" i="15"/>
  <c r="L33" i="15"/>
  <c r="K34" i="15"/>
  <c r="M26" i="15"/>
  <c r="L14" i="15"/>
  <c r="L32" i="15"/>
  <c r="K28" i="15"/>
  <c r="L12" i="15"/>
  <c r="L30" i="15"/>
  <c r="L28" i="15"/>
  <c r="L13" i="15"/>
  <c r="L31" i="15"/>
  <c r="F25" i="1"/>
  <c r="H26" i="1"/>
  <c r="H27" i="1"/>
  <c r="J16" i="15"/>
  <c r="G29" i="1"/>
  <c r="S26" i="2"/>
  <c r="H28" i="2"/>
  <c r="I15" i="2"/>
  <c r="I33" i="2"/>
  <c r="I14" i="2"/>
  <c r="I32" i="2"/>
  <c r="I12" i="2"/>
  <c r="I30" i="2"/>
  <c r="G34" i="2"/>
  <c r="H16" i="2"/>
  <c r="I28" i="2"/>
  <c r="I13" i="2"/>
  <c r="I31" i="2"/>
  <c r="H28" i="1"/>
  <c r="N24" i="50"/>
  <c r="M28" i="50"/>
  <c r="N31" i="50"/>
  <c r="O13" i="50"/>
  <c r="N33" i="50"/>
  <c r="O15" i="50"/>
  <c r="N32" i="50"/>
  <c r="O14" i="50"/>
  <c r="M16" i="50"/>
  <c r="M30" i="50"/>
  <c r="M34" i="50"/>
  <c r="N12" i="50"/>
  <c r="O13" i="49"/>
  <c r="N33" i="49"/>
  <c r="O15" i="49"/>
  <c r="O32" i="49"/>
  <c r="P14" i="49"/>
  <c r="P32" i="49"/>
  <c r="M16" i="49"/>
  <c r="M30" i="49"/>
  <c r="M34" i="49"/>
  <c r="N12" i="49"/>
  <c r="P24" i="49"/>
  <c r="L34" i="49"/>
  <c r="N25" i="49"/>
  <c r="M28" i="49"/>
  <c r="N33" i="48"/>
  <c r="O15" i="48"/>
  <c r="P14" i="48"/>
  <c r="P32" i="48"/>
  <c r="O32" i="48"/>
  <c r="N24" i="48"/>
  <c r="N30" i="48"/>
  <c r="N31" i="48"/>
  <c r="N34" i="48"/>
  <c r="M28" i="48"/>
  <c r="O12" i="48"/>
  <c r="N16" i="48"/>
  <c r="O13" i="48"/>
  <c r="M30" i="48"/>
  <c r="M34" i="48"/>
  <c r="N16" i="47"/>
  <c r="O12" i="47"/>
  <c r="N24" i="47"/>
  <c r="N30" i="47"/>
  <c r="M28" i="47"/>
  <c r="M30" i="47"/>
  <c r="M34" i="47"/>
  <c r="N33" i="47"/>
  <c r="O15" i="47"/>
  <c r="P13" i="47"/>
  <c r="P31" i="47"/>
  <c r="O31" i="47"/>
  <c r="N31" i="46"/>
  <c r="O13" i="46"/>
  <c r="N24" i="46"/>
  <c r="M28" i="46"/>
  <c r="N33" i="46"/>
  <c r="O15" i="46"/>
  <c r="M16" i="46"/>
  <c r="M30" i="46"/>
  <c r="M34" i="46"/>
  <c r="N12" i="46"/>
  <c r="O32" i="46"/>
  <c r="P14" i="46"/>
  <c r="P32" i="46"/>
  <c r="N31" i="45"/>
  <c r="O13" i="45"/>
  <c r="N32" i="45"/>
  <c r="O14" i="45"/>
  <c r="N33" i="45"/>
  <c r="O15" i="45"/>
  <c r="N24" i="45"/>
  <c r="M28" i="45"/>
  <c r="M16" i="45"/>
  <c r="M30" i="45"/>
  <c r="M34" i="45"/>
  <c r="N12" i="45"/>
  <c r="N12" i="44"/>
  <c r="M16" i="44"/>
  <c r="M30" i="44"/>
  <c r="O32" i="44"/>
  <c r="P14" i="44"/>
  <c r="P32" i="44"/>
  <c r="N33" i="44"/>
  <c r="O15" i="44"/>
  <c r="N25" i="44"/>
  <c r="M28" i="44"/>
  <c r="O13" i="44"/>
  <c r="M31" i="44"/>
  <c r="P24" i="44"/>
  <c r="N32" i="43"/>
  <c r="O14" i="43"/>
  <c r="N24" i="43"/>
  <c r="M28" i="43"/>
  <c r="O13" i="43"/>
  <c r="N31" i="43"/>
  <c r="M16" i="43"/>
  <c r="M30" i="43"/>
  <c r="M34" i="43"/>
  <c r="N12" i="43"/>
  <c r="N33" i="43"/>
  <c r="O15" i="43"/>
  <c r="N24" i="42"/>
  <c r="M28" i="42"/>
  <c r="O13" i="42"/>
  <c r="N31" i="42"/>
  <c r="N33" i="42"/>
  <c r="O15" i="42"/>
  <c r="P14" i="42"/>
  <c r="P32" i="42"/>
  <c r="O32" i="42"/>
  <c r="N12" i="42"/>
  <c r="M16" i="42"/>
  <c r="M30" i="42"/>
  <c r="M34" i="42"/>
  <c r="N15" i="15"/>
  <c r="M33" i="15"/>
  <c r="L34" i="15"/>
  <c r="N26" i="15"/>
  <c r="M12" i="15"/>
  <c r="M30" i="15"/>
  <c r="M28" i="15"/>
  <c r="M13" i="15"/>
  <c r="M31" i="15"/>
  <c r="M14" i="15"/>
  <c r="M32" i="15"/>
  <c r="G25" i="1"/>
  <c r="I27" i="1"/>
  <c r="I26" i="1"/>
  <c r="N34" i="47"/>
  <c r="T26" i="2"/>
  <c r="J12" i="2"/>
  <c r="J30" i="2"/>
  <c r="H34" i="2"/>
  <c r="I16" i="2"/>
  <c r="J28" i="2"/>
  <c r="I34" i="2"/>
  <c r="J13" i="2"/>
  <c r="J31" i="2"/>
  <c r="J14" i="2"/>
  <c r="J32" i="2"/>
  <c r="J15" i="2"/>
  <c r="J33" i="2"/>
  <c r="I28" i="1"/>
  <c r="O32" i="50"/>
  <c r="P14" i="50"/>
  <c r="P32" i="50"/>
  <c r="O33" i="50"/>
  <c r="P15" i="50"/>
  <c r="P33" i="50"/>
  <c r="N16" i="50"/>
  <c r="O12" i="50"/>
  <c r="N30" i="50"/>
  <c r="N34" i="50"/>
  <c r="P13" i="50"/>
  <c r="P31" i="50"/>
  <c r="O31" i="50"/>
  <c r="N28" i="50"/>
  <c r="O24" i="50"/>
  <c r="O25" i="49"/>
  <c r="O31" i="49"/>
  <c r="N28" i="49"/>
  <c r="P13" i="49"/>
  <c r="O33" i="49"/>
  <c r="P15" i="49"/>
  <c r="P33" i="49"/>
  <c r="N16" i="49"/>
  <c r="N30" i="49"/>
  <c r="O12" i="49"/>
  <c r="N31" i="49"/>
  <c r="O16" i="48"/>
  <c r="P12" i="48"/>
  <c r="N28" i="48"/>
  <c r="O24" i="48"/>
  <c r="P13" i="48"/>
  <c r="P31" i="48"/>
  <c r="O31" i="48"/>
  <c r="O33" i="48"/>
  <c r="P15" i="48"/>
  <c r="P33" i="48"/>
  <c r="O33" i="47"/>
  <c r="P15" i="47"/>
  <c r="P33" i="47"/>
  <c r="O16" i="47"/>
  <c r="P12" i="47"/>
  <c r="N28" i="47"/>
  <c r="O24" i="47"/>
  <c r="O33" i="46"/>
  <c r="P15" i="46"/>
  <c r="P33" i="46"/>
  <c r="N28" i="46"/>
  <c r="O24" i="46"/>
  <c r="P13" i="46"/>
  <c r="P31" i="46"/>
  <c r="O31" i="46"/>
  <c r="N16" i="46"/>
  <c r="O12" i="46"/>
  <c r="N30" i="46"/>
  <c r="N34" i="46"/>
  <c r="N28" i="45"/>
  <c r="O24" i="45"/>
  <c r="O33" i="45"/>
  <c r="P15" i="45"/>
  <c r="P33" i="45"/>
  <c r="O32" i="45"/>
  <c r="P14" i="45"/>
  <c r="P32" i="45"/>
  <c r="N16" i="45"/>
  <c r="O12" i="45"/>
  <c r="N30" i="45"/>
  <c r="N34" i="45"/>
  <c r="P13" i="45"/>
  <c r="P31" i="45"/>
  <c r="O31" i="45"/>
  <c r="O25" i="44"/>
  <c r="O31" i="44"/>
  <c r="N28" i="44"/>
  <c r="O33" i="44"/>
  <c r="P15" i="44"/>
  <c r="P33" i="44"/>
  <c r="M34" i="44"/>
  <c r="N31" i="44"/>
  <c r="P13" i="44"/>
  <c r="N30" i="44"/>
  <c r="N16" i="44"/>
  <c r="O12" i="44"/>
  <c r="P13" i="43"/>
  <c r="P31" i="43"/>
  <c r="O31" i="43"/>
  <c r="N28" i="43"/>
  <c r="O24" i="43"/>
  <c r="O33" i="43"/>
  <c r="P15" i="43"/>
  <c r="P33" i="43"/>
  <c r="O32" i="43"/>
  <c r="P14" i="43"/>
  <c r="P32" i="43"/>
  <c r="N16" i="43"/>
  <c r="O12" i="43"/>
  <c r="N30" i="43"/>
  <c r="N34" i="43"/>
  <c r="O33" i="42"/>
  <c r="P15" i="42"/>
  <c r="P33" i="42"/>
  <c r="P13" i="42"/>
  <c r="P31" i="42"/>
  <c r="O31" i="42"/>
  <c r="N16" i="42"/>
  <c r="O12" i="42"/>
  <c r="N30" i="42"/>
  <c r="N34" i="42"/>
  <c r="N28" i="42"/>
  <c r="O24" i="42"/>
  <c r="O15" i="15"/>
  <c r="N33" i="15"/>
  <c r="M34" i="15"/>
  <c r="O26" i="15"/>
  <c r="N13" i="15"/>
  <c r="N31" i="15"/>
  <c r="N14" i="15"/>
  <c r="N32" i="15"/>
  <c r="N12" i="15"/>
  <c r="N30" i="15"/>
  <c r="N28" i="15"/>
  <c r="H29" i="1"/>
  <c r="H25" i="1"/>
  <c r="J26" i="1"/>
  <c r="J27" i="1"/>
  <c r="L16" i="15"/>
  <c r="K16" i="15"/>
  <c r="U26" i="2"/>
  <c r="K14" i="2"/>
  <c r="K32" i="2"/>
  <c r="K12" i="2"/>
  <c r="K30" i="2"/>
  <c r="J16" i="2"/>
  <c r="K13" i="2"/>
  <c r="K31" i="2"/>
  <c r="K15" i="2"/>
  <c r="K33" i="2"/>
  <c r="J28" i="1"/>
  <c r="O16" i="50"/>
  <c r="P12" i="50"/>
  <c r="O30" i="50"/>
  <c r="O34" i="50"/>
  <c r="O28" i="50"/>
  <c r="P24" i="50"/>
  <c r="P28" i="50"/>
  <c r="O16" i="49"/>
  <c r="P12" i="49"/>
  <c r="O30" i="49"/>
  <c r="O34" i="49"/>
  <c r="P25" i="49"/>
  <c r="P31" i="49"/>
  <c r="N34" i="49"/>
  <c r="P28" i="49"/>
  <c r="O28" i="49"/>
  <c r="P16" i="48"/>
  <c r="O28" i="48"/>
  <c r="P24" i="48"/>
  <c r="P28" i="48"/>
  <c r="O30" i="48"/>
  <c r="O34" i="48"/>
  <c r="O28" i="47"/>
  <c r="P24" i="47"/>
  <c r="P28" i="47"/>
  <c r="P30" i="47"/>
  <c r="P34" i="47"/>
  <c r="P16" i="47"/>
  <c r="O30" i="47"/>
  <c r="O34" i="47"/>
  <c r="O16" i="46"/>
  <c r="P12" i="46"/>
  <c r="O30" i="46"/>
  <c r="O34" i="46"/>
  <c r="O28" i="46"/>
  <c r="P24" i="46"/>
  <c r="P28" i="46"/>
  <c r="O16" i="45"/>
  <c r="P12" i="45"/>
  <c r="O30" i="45"/>
  <c r="O34" i="45"/>
  <c r="O28" i="45"/>
  <c r="P24" i="45"/>
  <c r="P28" i="45"/>
  <c r="O16" i="44"/>
  <c r="O30" i="44"/>
  <c r="O34" i="44"/>
  <c r="P12" i="44"/>
  <c r="N34" i="44"/>
  <c r="P25" i="44"/>
  <c r="P28" i="44"/>
  <c r="O28" i="44"/>
  <c r="O28" i="43"/>
  <c r="P24" i="43"/>
  <c r="P28" i="43"/>
  <c r="O16" i="43"/>
  <c r="P12" i="43"/>
  <c r="O30" i="43"/>
  <c r="O34" i="43"/>
  <c r="O16" i="42"/>
  <c r="P12" i="42"/>
  <c r="O30" i="42"/>
  <c r="O34" i="42"/>
  <c r="O28" i="42"/>
  <c r="P24" i="42"/>
  <c r="P28" i="42"/>
  <c r="P15" i="15"/>
  <c r="P33" i="15"/>
  <c r="O33" i="15"/>
  <c r="N34" i="15"/>
  <c r="P26" i="15"/>
  <c r="O14" i="15"/>
  <c r="O32" i="15"/>
  <c r="O12" i="15"/>
  <c r="O30" i="15"/>
  <c r="O13" i="15"/>
  <c r="O31" i="15"/>
  <c r="I25" i="1"/>
  <c r="I29" i="1"/>
  <c r="K27" i="1"/>
  <c r="K26" i="1"/>
  <c r="M16" i="15"/>
  <c r="V26" i="2"/>
  <c r="L13" i="2"/>
  <c r="L31" i="2"/>
  <c r="K28" i="2"/>
  <c r="L12" i="2"/>
  <c r="L30" i="2"/>
  <c r="K16" i="2"/>
  <c r="L15" i="2"/>
  <c r="L33" i="2"/>
  <c r="J34" i="2"/>
  <c r="L14" i="2"/>
  <c r="L32" i="2"/>
  <c r="K28" i="1"/>
  <c r="P30" i="50"/>
  <c r="P34" i="50"/>
  <c r="P16" i="50"/>
  <c r="P30" i="49"/>
  <c r="P34" i="49"/>
  <c r="P16" i="49"/>
  <c r="P30" i="48"/>
  <c r="P34" i="48"/>
  <c r="P30" i="46"/>
  <c r="P34" i="46"/>
  <c r="P16" i="46"/>
  <c r="P30" i="45"/>
  <c r="P34" i="45"/>
  <c r="P16" i="45"/>
  <c r="P30" i="44"/>
  <c r="P16" i="44"/>
  <c r="P31" i="44"/>
  <c r="P30" i="43"/>
  <c r="P34" i="43"/>
  <c r="P16" i="43"/>
  <c r="P30" i="42"/>
  <c r="P34" i="42"/>
  <c r="P16" i="42"/>
  <c r="O34" i="15"/>
  <c r="P13" i="15"/>
  <c r="P31" i="15"/>
  <c r="O28" i="15"/>
  <c r="P12" i="15"/>
  <c r="P30" i="15"/>
  <c r="P14" i="15"/>
  <c r="P32" i="15"/>
  <c r="J29" i="1"/>
  <c r="J25" i="1"/>
  <c r="L27" i="1"/>
  <c r="L26" i="1"/>
  <c r="N16" i="15"/>
  <c r="W26" i="2"/>
  <c r="M12" i="2"/>
  <c r="M30" i="2"/>
  <c r="L16" i="2"/>
  <c r="M13" i="2"/>
  <c r="M31" i="2"/>
  <c r="L34" i="2"/>
  <c r="M14" i="2"/>
  <c r="M32" i="2"/>
  <c r="K34" i="2"/>
  <c r="M15" i="2"/>
  <c r="M33" i="2"/>
  <c r="L28" i="2"/>
  <c r="L28" i="1"/>
  <c r="P34" i="44"/>
  <c r="P34" i="15"/>
  <c r="P28" i="15"/>
  <c r="K29" i="1"/>
  <c r="K25" i="1"/>
  <c r="M27" i="1"/>
  <c r="M26" i="1"/>
  <c r="N14" i="2"/>
  <c r="N32" i="2"/>
  <c r="N28" i="2"/>
  <c r="M34" i="2"/>
  <c r="N13" i="2"/>
  <c r="N31" i="2"/>
  <c r="M28" i="2"/>
  <c r="N15" i="2"/>
  <c r="N33" i="2"/>
  <c r="N12" i="2"/>
  <c r="N30" i="2"/>
  <c r="M16" i="2"/>
  <c r="M28" i="1"/>
  <c r="L25" i="1"/>
  <c r="L29" i="1"/>
  <c r="N27" i="1"/>
  <c r="N26" i="1"/>
  <c r="P16" i="15"/>
  <c r="O16" i="15"/>
  <c r="O15" i="2"/>
  <c r="O33" i="2"/>
  <c r="O13" i="2"/>
  <c r="O31" i="2"/>
  <c r="O12" i="2"/>
  <c r="O30" i="2"/>
  <c r="N16" i="2"/>
  <c r="O14" i="2"/>
  <c r="O32" i="2"/>
  <c r="N28" i="1"/>
  <c r="M29" i="1"/>
  <c r="M25" i="1"/>
  <c r="O27" i="1"/>
  <c r="O26" i="1"/>
  <c r="N34" i="2"/>
  <c r="O28" i="2"/>
  <c r="O34" i="2"/>
  <c r="P13" i="2"/>
  <c r="P31" i="2"/>
  <c r="P14" i="2"/>
  <c r="P32" i="2"/>
  <c r="P12" i="2"/>
  <c r="P30" i="2"/>
  <c r="O16" i="2"/>
  <c r="P15" i="2"/>
  <c r="P33" i="2"/>
  <c r="O28" i="1"/>
  <c r="N25" i="1"/>
  <c r="N29" i="1"/>
  <c r="P27" i="1"/>
  <c r="P26" i="1"/>
  <c r="Q14" i="2"/>
  <c r="Q32" i="2"/>
  <c r="Q12" i="2"/>
  <c r="Q30" i="2"/>
  <c r="P16" i="2"/>
  <c r="Q13" i="2"/>
  <c r="Q31" i="2"/>
  <c r="P28" i="2"/>
  <c r="Q15" i="2"/>
  <c r="Q33" i="2"/>
  <c r="P28" i="1"/>
  <c r="O29" i="1"/>
  <c r="O25" i="1"/>
  <c r="Q26" i="1"/>
  <c r="Q27" i="1"/>
  <c r="R15" i="2"/>
  <c r="R33" i="2"/>
  <c r="Q28" i="2"/>
  <c r="R12" i="2"/>
  <c r="R30" i="2"/>
  <c r="Q16" i="2"/>
  <c r="R28" i="2"/>
  <c r="R13" i="2"/>
  <c r="R31" i="2"/>
  <c r="P34" i="2"/>
  <c r="R14" i="2"/>
  <c r="R32" i="2"/>
  <c r="Q28" i="1"/>
  <c r="P25" i="1"/>
  <c r="P29" i="1"/>
  <c r="R26" i="1"/>
  <c r="R27" i="1"/>
  <c r="S12" i="2"/>
  <c r="S30" i="2"/>
  <c r="R16" i="2"/>
  <c r="Q34" i="2"/>
  <c r="S14" i="2"/>
  <c r="S32" i="2"/>
  <c r="S13" i="2"/>
  <c r="S31" i="2"/>
  <c r="R34" i="2"/>
  <c r="S15" i="2"/>
  <c r="S33" i="2"/>
  <c r="R28" i="1"/>
  <c r="Q29" i="1"/>
  <c r="Q25" i="1"/>
  <c r="S27" i="1"/>
  <c r="S26" i="1"/>
  <c r="T14" i="2"/>
  <c r="T32" i="2"/>
  <c r="T15" i="2"/>
  <c r="T33" i="2"/>
  <c r="T12" i="2"/>
  <c r="T30" i="2"/>
  <c r="S16" i="2"/>
  <c r="S34" i="2"/>
  <c r="T13" i="2"/>
  <c r="T31" i="2"/>
  <c r="S28" i="2"/>
  <c r="S28" i="1"/>
  <c r="R25" i="1"/>
  <c r="R29" i="1"/>
  <c r="T26" i="1"/>
  <c r="T27" i="1"/>
  <c r="U13" i="2"/>
  <c r="U31" i="2"/>
  <c r="T34" i="2"/>
  <c r="U15" i="2"/>
  <c r="U33" i="2"/>
  <c r="T28" i="2"/>
  <c r="U12" i="2"/>
  <c r="U30" i="2"/>
  <c r="T16" i="2"/>
  <c r="U14" i="2"/>
  <c r="U32" i="2"/>
  <c r="T28" i="1"/>
  <c r="S29" i="1"/>
  <c r="S25" i="1"/>
  <c r="U27" i="1"/>
  <c r="U26" i="1"/>
  <c r="V15" i="2"/>
  <c r="V33" i="2"/>
  <c r="V12" i="2"/>
  <c r="V30" i="2"/>
  <c r="U16" i="2"/>
  <c r="V13" i="2"/>
  <c r="V31" i="2"/>
  <c r="V14" i="2"/>
  <c r="V32" i="2"/>
  <c r="U28" i="2"/>
  <c r="U28" i="1"/>
  <c r="T25" i="1"/>
  <c r="T29" i="1"/>
  <c r="V27" i="1"/>
  <c r="V26" i="1"/>
  <c r="V28" i="2"/>
  <c r="W28" i="2"/>
  <c r="W12" i="2"/>
  <c r="W30" i="2"/>
  <c r="V16" i="2"/>
  <c r="W14" i="2"/>
  <c r="W32" i="2"/>
  <c r="U34" i="2"/>
  <c r="W13" i="2"/>
  <c r="W31" i="2"/>
  <c r="V34" i="2"/>
  <c r="W15" i="2"/>
  <c r="W33" i="2"/>
  <c r="V28" i="1"/>
  <c r="U25" i="1"/>
  <c r="U29" i="1"/>
  <c r="W26" i="1"/>
  <c r="W27" i="1"/>
  <c r="W16" i="2"/>
  <c r="W34" i="2"/>
  <c r="W28" i="1"/>
  <c r="V29" i="1"/>
  <c r="V25" i="1"/>
  <c r="Y27" i="1"/>
  <c r="X27" i="1"/>
  <c r="Y26" i="1"/>
  <c r="X26" i="1"/>
  <c r="Y28" i="1"/>
  <c r="X28" i="1"/>
  <c r="W25" i="1"/>
  <c r="W29" i="1"/>
  <c r="Y29" i="1"/>
  <c r="X29" i="1"/>
  <c r="Y25" i="1"/>
  <c r="X25" i="1"/>
</calcChain>
</file>

<file path=xl/sharedStrings.xml><?xml version="1.0" encoding="utf-8"?>
<sst xmlns="http://schemas.openxmlformats.org/spreadsheetml/2006/main" count="294" uniqueCount="52">
  <si>
    <t>Last</t>
  </si>
  <si>
    <t>Sprint 0 Start Date:</t>
  </si>
  <si>
    <t>Team Member 1:</t>
  </si>
  <si>
    <t>Team Member 2:</t>
  </si>
  <si>
    <t>Team Member 3:</t>
  </si>
  <si>
    <t>Daily Velocity</t>
  </si>
  <si>
    <t>Work Date:</t>
  </si>
  <si>
    <t>Weekly Effort</t>
  </si>
  <si>
    <t>Weekly Velocity</t>
  </si>
  <si>
    <t>Week Start Date:</t>
  </si>
  <si>
    <t>Work Week #:</t>
  </si>
  <si>
    <t>Sprint 1</t>
  </si>
  <si>
    <t>Sprint 0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</si>
  <si>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</si>
  <si>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</si>
  <si>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</si>
  <si>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</si>
  <si>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</si>
  <si>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</si>
  <si>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</si>
  <si>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</si>
  <si>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</si>
  <si>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CS 425: Senior Project I</t>
  </si>
  <si>
    <t>CS 499: Senior Project II</t>
  </si>
  <si>
    <t>DO NOT ENTER INFORMATION DIRECTLY ONTO THIS SHEET</t>
  </si>
  <si>
    <t>Sprint 5 Start Date:</t>
  </si>
  <si>
    <t>MODIFY DATA INSIDE OF BLUE BOXES</t>
  </si>
  <si>
    <t>Work Day #:</t>
  </si>
  <si>
    <t>Initial</t>
  </si>
  <si>
    <r>
      <t xml:space="preserve">ENTER </t>
    </r>
    <r>
      <rPr>
        <b/>
        <i/>
        <sz val="14"/>
        <color rgb="FFFF0000"/>
        <rFont val="Calibri"/>
        <family val="2"/>
        <scheme val="minor"/>
      </rPr>
      <t>PERSON-HOURS</t>
    </r>
    <r>
      <rPr>
        <b/>
        <sz val="14"/>
        <color rgb="FFFF0000"/>
        <rFont val="Calibri"/>
        <family val="2"/>
        <scheme val="minor"/>
      </rPr>
      <t xml:space="preserve"> DATA INTO THE BLUE BOXED AREAS</t>
    </r>
  </si>
  <si>
    <t>TEAM:</t>
  </si>
  <si>
    <t>Week:</t>
  </si>
  <si>
    <t>Week 1</t>
  </si>
  <si>
    <t>Week 2</t>
  </si>
  <si>
    <t>Week 3</t>
  </si>
  <si>
    <t>TOTAL</t>
  </si>
  <si>
    <t>(Person-Hours)</t>
  </si>
  <si>
    <t>Use the Sprint Sheets That Follow After Entering Team Member Info in the Setup Sheet</t>
  </si>
  <si>
    <t>All Other Information is Automatically Calculated from this Data; Do Not Modify Other Cells or Formula</t>
  </si>
  <si>
    <t>Cumulative Weekly Effort</t>
  </si>
  <si>
    <t>Product Daily Effort</t>
  </si>
  <si>
    <t>Product Cumulative Daily Effort</t>
  </si>
  <si>
    <t>Course-specific Cumulative Daily Effort</t>
  </si>
  <si>
    <t>Course-specific Daily Effort</t>
  </si>
  <si>
    <t>Weekly Product Effort</t>
  </si>
  <si>
    <t>Weekly Course-specific Effort</t>
  </si>
  <si>
    <t>Nathan</t>
  </si>
  <si>
    <t>NR</t>
  </si>
  <si>
    <t>Spencer</t>
  </si>
  <si>
    <t>SS</t>
  </si>
  <si>
    <t>Dylan</t>
  </si>
  <si>
    <t>DW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</si>
</sst>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d\-mmm\-yy;@"/>
    <numFmt numFmtId="165" formatCode="[$-409]dd\-mmm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2"/>
      <color theme="7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indexed="8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ck">
        <color rgb="FF0070C0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thick">
        <color rgb="FF0070C0"/>
      </left>
      <right style="medium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medium">
        <color rgb="FF0070C0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rgb="FF0070C0"/>
      </left>
      <right style="medium">
        <color auto="1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1" fillId="0" borderId="2" xfId="0" applyFont="1" applyBorder="1" applyAlignment="1">
      <alignment horizontal="left"/>
    </xf>
    <xf numFmtId="0" fontId="7" fillId="0" borderId="3" xfId="0" applyFont="1" applyBorder="1" applyAlignment="1">
      <alignment horizontal="right"/>
    </xf>
    <xf numFmtId="0" fontId="11" fillId="0" borderId="0" xfId="0" applyFont="1"/>
    <xf numFmtId="0" fontId="11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3" fillId="0" borderId="4" xfId="0" applyFont="1" applyBorder="1"/>
    <xf numFmtId="0" fontId="9" fillId="0" borderId="0" xfId="0" applyFont="1"/>
    <xf numFmtId="165" fontId="0" fillId="0" borderId="0" xfId="0" applyNumberFormat="1" applyAlignment="1">
      <alignment horizontal="center"/>
    </xf>
    <xf numFmtId="0" fontId="12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7" fillId="0" borderId="5" xfId="0" applyFont="1" applyBorder="1" applyAlignment="1">
      <alignment horizontal="right"/>
    </xf>
    <xf numFmtId="0" fontId="3" fillId="0" borderId="0" xfId="0" applyFont="1" applyBorder="1" applyAlignment="1">
      <alignment horizontal="center" vertical="center" textRotation="90" wrapText="1"/>
    </xf>
    <xf numFmtId="0" fontId="7" fillId="0" borderId="0" xfId="0" applyFont="1" applyBorder="1" applyAlignment="1">
      <alignment horizontal="right"/>
    </xf>
    <xf numFmtId="2" fontId="14" fillId="0" borderId="0" xfId="0" applyNumberFormat="1" applyFont="1"/>
    <xf numFmtId="2" fontId="0" fillId="0" borderId="0" xfId="0" applyNumberFormat="1" applyBorder="1"/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left"/>
    </xf>
    <xf numFmtId="2" fontId="0" fillId="0" borderId="0" xfId="0" applyNumberFormat="1" applyFill="1" applyBorder="1"/>
    <xf numFmtId="2" fontId="14" fillId="0" borderId="0" xfId="0" applyNumberFormat="1" applyFont="1" applyFill="1" applyBorder="1"/>
    <xf numFmtId="0" fontId="17" fillId="0" borderId="0" xfId="0" applyFont="1" applyAlignment="1">
      <alignment horizontal="center"/>
    </xf>
    <xf numFmtId="2" fontId="0" fillId="0" borderId="6" xfId="0" applyNumberFormat="1" applyBorder="1"/>
    <xf numFmtId="2" fontId="0" fillId="0" borderId="4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2" xfId="0" applyNumberFormat="1" applyBorder="1"/>
    <xf numFmtId="164" fontId="18" fillId="0" borderId="0" xfId="0" applyNumberFormat="1" applyFont="1" applyBorder="1"/>
    <xf numFmtId="165" fontId="4" fillId="0" borderId="13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2" fontId="0" fillId="0" borderId="13" xfId="0" applyNumberFormat="1" applyBorder="1"/>
    <xf numFmtId="2" fontId="0" fillId="0" borderId="15" xfId="0" applyNumberFormat="1" applyBorder="1"/>
    <xf numFmtId="2" fontId="14" fillId="0" borderId="13" xfId="0" applyNumberFormat="1" applyFont="1" applyBorder="1"/>
    <xf numFmtId="2" fontId="14" fillId="0" borderId="15" xfId="0" applyNumberFormat="1" applyFont="1" applyBorder="1"/>
    <xf numFmtId="0" fontId="0" fillId="0" borderId="13" xfId="0" applyBorder="1"/>
    <xf numFmtId="0" fontId="0" fillId="0" borderId="15" xfId="0" applyBorder="1"/>
    <xf numFmtId="2" fontId="0" fillId="0" borderId="13" xfId="0" applyNumberFormat="1" applyFill="1" applyBorder="1"/>
    <xf numFmtId="2" fontId="0" fillId="0" borderId="15" xfId="0" applyNumberFormat="1" applyFill="1" applyBorder="1"/>
    <xf numFmtId="2" fontId="14" fillId="0" borderId="13" xfId="0" applyNumberFormat="1" applyFont="1" applyFill="1" applyBorder="1"/>
    <xf numFmtId="2" fontId="14" fillId="0" borderId="15" xfId="0" applyNumberFormat="1" applyFont="1" applyFill="1" applyBorder="1"/>
    <xf numFmtId="0" fontId="19" fillId="0" borderId="0" xfId="0" applyFont="1" applyBorder="1" applyAlignment="1">
      <alignment horizontal="center" vertical="center" textRotation="90" wrapText="1"/>
    </xf>
    <xf numFmtId="165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2" fontId="0" fillId="0" borderId="19" xfId="0" applyNumberFormat="1" applyBorder="1"/>
    <xf numFmtId="2" fontId="0" fillId="0" borderId="20" xfId="0" applyNumberFormat="1" applyBorder="1"/>
    <xf numFmtId="2" fontId="14" fillId="0" borderId="17" xfId="0" applyNumberFormat="1" applyFont="1" applyBorder="1"/>
    <xf numFmtId="2" fontId="14" fillId="0" borderId="18" xfId="0" applyNumberFormat="1" applyFont="1" applyBorder="1"/>
    <xf numFmtId="2" fontId="0" fillId="0" borderId="17" xfId="0" applyNumberFormat="1" applyBorder="1"/>
    <xf numFmtId="2" fontId="0" fillId="0" borderId="18" xfId="0" applyNumberFormat="1" applyBorder="1"/>
    <xf numFmtId="2" fontId="14" fillId="0" borderId="0" xfId="0" applyNumberFormat="1" applyFon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19" fillId="0" borderId="1" xfId="0" applyFont="1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textRotation="90" wrapText="1"/>
    </xf>
    <xf numFmtId="0" fontId="5" fillId="0" borderId="0" xfId="0" applyFont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textRotation="90" wrapText="1"/>
    </xf>
    <xf numFmtId="0" fontId="1" fillId="0" borderId="17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Weekly Team Development Effort </a:t>
            </a:r>
          </a:p>
          <a:p>
            <a:pPr>
              <a:defRPr/>
            </a:pPr>
            <a:r>
              <a:rPr lang="en-US"/>
              <a:t>(Product &amp;</a:t>
            </a:r>
            <a:r>
              <a:rPr lang="en-US" baseline="0"/>
              <a:t> Course-specific)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Product!$C$17:$Y$17</c:f>
              <c:numCache>
                <c:formatCode>0.00</c:formatCode>
                <c:ptCount val="23"/>
                <c:pt idx="0">
                  <c:v>2.91</c:v>
                </c:pt>
                <c:pt idx="1">
                  <c:v>13.75</c:v>
                </c:pt>
                <c:pt idx="2">
                  <c:v>12.4</c:v>
                </c:pt>
                <c:pt idx="3">
                  <c:v>6.25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(Product!$C$11:$M$11,Product!$N$11:$Y$11)</c:f>
              <c:numCache>
                <c:formatCode>0.00</c:formatCode>
                <c:ptCount val="23"/>
                <c:pt idx="0">
                  <c:v>3</c:v>
                </c:pt>
                <c:pt idx="1">
                  <c:v>3.25</c:v>
                </c:pt>
                <c:pt idx="2">
                  <c:v>6.5</c:v>
                </c:pt>
                <c:pt idx="3">
                  <c:v>4.5</c:v>
                </c:pt>
                <c:pt idx="4">
                  <c:v>7.5</c:v>
                </c:pt>
                <c:pt idx="5">
                  <c:v>12.067</c:v>
                </c:pt>
                <c:pt idx="6">
                  <c:v>28.003</c:v>
                </c:pt>
                <c:pt idx="7">
                  <c:v>28</c:v>
                </c:pt>
                <c:pt idx="8">
                  <c:v>22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6464696"/>
        <c:axId val="31646352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Product!$C$29:$Y$29</c:f>
              <c:numCache>
                <c:formatCode>0.00</c:formatCode>
                <c:ptCount val="23"/>
                <c:pt idx="0">
                  <c:v>5.91</c:v>
                </c:pt>
                <c:pt idx="1">
                  <c:v>11.455</c:v>
                </c:pt>
                <c:pt idx="2">
                  <c:v>13.936666666666667</c:v>
                </c:pt>
                <c:pt idx="3">
                  <c:v>13.14</c:v>
                </c:pt>
                <c:pt idx="4">
                  <c:v>12.612</c:v>
                </c:pt>
                <c:pt idx="5">
                  <c:v>12.521166666666668</c:v>
                </c:pt>
                <c:pt idx="6">
                  <c:v>14.732857142857144</c:v>
                </c:pt>
                <c:pt idx="7">
                  <c:v>16.391249999999999</c:v>
                </c:pt>
                <c:pt idx="8">
                  <c:v>17.014444444444443</c:v>
                </c:pt>
                <c:pt idx="9">
                  <c:v>15.312999999999999</c:v>
                </c:pt>
                <c:pt idx="10">
                  <c:v>13.92090909090909</c:v>
                </c:pt>
                <c:pt idx="11">
                  <c:v>12.760833333333332</c:v>
                </c:pt>
                <c:pt idx="12">
                  <c:v>11.779230769230768</c:v>
                </c:pt>
                <c:pt idx="13">
                  <c:v>10.937857142857142</c:v>
                </c:pt>
                <c:pt idx="14">
                  <c:v>10.208666666666666</c:v>
                </c:pt>
                <c:pt idx="15">
                  <c:v>9.5706249999999997</c:v>
                </c:pt>
                <c:pt idx="16">
                  <c:v>9.0076470588235296</c:v>
                </c:pt>
                <c:pt idx="17">
                  <c:v>8.5072222222222216</c:v>
                </c:pt>
                <c:pt idx="18">
                  <c:v>8.0594736842105252</c:v>
                </c:pt>
                <c:pt idx="19">
                  <c:v>7.6564999999999994</c:v>
                </c:pt>
                <c:pt idx="20">
                  <c:v>7.2919047619047621</c:v>
                </c:pt>
                <c:pt idx="21">
                  <c:v>6.960454545454545</c:v>
                </c:pt>
                <c:pt idx="22">
                  <c:v>6.6578260869565211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464696"/>
        <c:axId val="316463520"/>
      </c:lineChart>
      <c:catAx>
        <c:axId val="316464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463520"/>
        <c:crosses val="autoZero"/>
        <c:auto val="0"/>
        <c:lblAlgn val="ctr"/>
        <c:lblOffset val="100"/>
        <c:noMultiLvlLbl val="0"/>
      </c:catAx>
      <c:valAx>
        <c:axId val="31646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</a:t>
                </a:r>
                <a:r>
                  <a:rPr lang="en-US" baseline="0"/>
                  <a:t>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464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Product!$C$13:$Y$13</c:f>
              <c:numCache>
                <c:formatCode>0.00</c:formatCode>
                <c:ptCount val="23"/>
                <c:pt idx="0">
                  <c:v>0</c:v>
                </c:pt>
                <c:pt idx="1">
                  <c:v>4</c:v>
                </c:pt>
                <c:pt idx="2">
                  <c:v>3.5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Product!$C$7:$Y$7</c:f>
              <c:numCache>
                <c:formatCode>0.00</c:formatCode>
                <c:ptCount val="2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10.5</c:v>
                </c:pt>
                <c:pt idx="7">
                  <c:v>11</c:v>
                </c:pt>
                <c:pt idx="8">
                  <c:v>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5849040"/>
        <c:axId val="315842768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Product!$C$25:$Y$25</c:f>
              <c:numCache>
                <c:formatCode>0.00</c:formatCode>
                <c:ptCount val="23"/>
                <c:pt idx="0">
                  <c:v>2</c:v>
                </c:pt>
                <c:pt idx="1">
                  <c:v>5.75</c:v>
                </c:pt>
                <c:pt idx="2">
                  <c:v>5.8</c:v>
                </c:pt>
                <c:pt idx="3">
                  <c:v>6.0374999999999996</c:v>
                </c:pt>
                <c:pt idx="4">
                  <c:v>6.13</c:v>
                </c:pt>
                <c:pt idx="5">
                  <c:v>5.9416666666666664</c:v>
                </c:pt>
                <c:pt idx="6">
                  <c:v>6.5928571428571425</c:v>
                </c:pt>
                <c:pt idx="7">
                  <c:v>7.1437499999999998</c:v>
                </c:pt>
                <c:pt idx="8">
                  <c:v>7.3500000000000005</c:v>
                </c:pt>
                <c:pt idx="9">
                  <c:v>6.6150000000000002</c:v>
                </c:pt>
                <c:pt idx="10">
                  <c:v>6.0136363636363646</c:v>
                </c:pt>
                <c:pt idx="11">
                  <c:v>5.5125000000000002</c:v>
                </c:pt>
                <c:pt idx="12">
                  <c:v>5.088461538461539</c:v>
                </c:pt>
                <c:pt idx="13">
                  <c:v>4.7250000000000005</c:v>
                </c:pt>
                <c:pt idx="14">
                  <c:v>4.41</c:v>
                </c:pt>
                <c:pt idx="15">
                  <c:v>4.1343750000000004</c:v>
                </c:pt>
                <c:pt idx="16">
                  <c:v>3.8911764705882357</c:v>
                </c:pt>
                <c:pt idx="17">
                  <c:v>3.6750000000000003</c:v>
                </c:pt>
                <c:pt idx="18">
                  <c:v>3.4815789473684213</c:v>
                </c:pt>
                <c:pt idx="19">
                  <c:v>3.3075000000000001</c:v>
                </c:pt>
                <c:pt idx="20">
                  <c:v>3.1500000000000004</c:v>
                </c:pt>
                <c:pt idx="21">
                  <c:v>3.0068181818181823</c:v>
                </c:pt>
                <c:pt idx="22">
                  <c:v>2.8760869565217395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849040"/>
        <c:axId val="315842768"/>
      </c:lineChart>
      <c:catAx>
        <c:axId val="315849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842768"/>
        <c:crosses val="autoZero"/>
        <c:auto val="0"/>
        <c:lblAlgn val="ctr"/>
        <c:lblOffset val="100"/>
        <c:noMultiLvlLbl val="0"/>
      </c:catAx>
      <c:valAx>
        <c:axId val="3158427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8490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Product!$C$14:$W$14</c:f>
              <c:numCache>
                <c:formatCode>0.00</c:formatCode>
                <c:ptCount val="21"/>
                <c:pt idx="0">
                  <c:v>2.66</c:v>
                </c:pt>
                <c:pt idx="1">
                  <c:v>8.5</c:v>
                </c:pt>
                <c:pt idx="2">
                  <c:v>4.9000000000000004</c:v>
                </c:pt>
                <c:pt idx="3">
                  <c:v>5.75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Product!$C$8:$Y$8</c:f>
              <c:numCache>
                <c:formatCode>0.00</c:formatCode>
                <c:ptCount val="2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1.5</c:v>
                </c:pt>
                <c:pt idx="5">
                  <c:v>2</c:v>
                </c:pt>
                <c:pt idx="6">
                  <c:v>12.003</c:v>
                </c:pt>
                <c:pt idx="7">
                  <c:v>11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5843944"/>
        <c:axId val="315844336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Product!$C$26:$Y$26</c:f>
              <c:numCache>
                <c:formatCode>0.00</c:formatCode>
                <c:ptCount val="23"/>
                <c:pt idx="0">
                  <c:v>2.66</c:v>
                </c:pt>
                <c:pt idx="1">
                  <c:v>2.2050000000000001</c:v>
                </c:pt>
                <c:pt idx="2">
                  <c:v>2.97</c:v>
                </c:pt>
                <c:pt idx="3">
                  <c:v>2.4775</c:v>
                </c:pt>
                <c:pt idx="4">
                  <c:v>2.3820000000000001</c:v>
                </c:pt>
                <c:pt idx="5">
                  <c:v>2.3183333333333334</c:v>
                </c:pt>
                <c:pt idx="6">
                  <c:v>3.701857142857143</c:v>
                </c:pt>
                <c:pt idx="7">
                  <c:v>4.6141249999999996</c:v>
                </c:pt>
                <c:pt idx="8">
                  <c:v>4.9903333333333331</c:v>
                </c:pt>
                <c:pt idx="9">
                  <c:v>4.4912999999999998</c:v>
                </c:pt>
                <c:pt idx="10">
                  <c:v>4.0829999999999993</c:v>
                </c:pt>
                <c:pt idx="11">
                  <c:v>3.7427499999999996</c:v>
                </c:pt>
                <c:pt idx="12">
                  <c:v>3.4548461538461535</c:v>
                </c:pt>
                <c:pt idx="13">
                  <c:v>3.2080714285714285</c:v>
                </c:pt>
                <c:pt idx="14">
                  <c:v>2.9941999999999998</c:v>
                </c:pt>
                <c:pt idx="15">
                  <c:v>2.8070624999999998</c:v>
                </c:pt>
                <c:pt idx="16">
                  <c:v>2.641941176470588</c:v>
                </c:pt>
                <c:pt idx="17">
                  <c:v>2.4951666666666665</c:v>
                </c:pt>
                <c:pt idx="18">
                  <c:v>2.3638421052631577</c:v>
                </c:pt>
                <c:pt idx="19">
                  <c:v>2.2456499999999999</c:v>
                </c:pt>
                <c:pt idx="20">
                  <c:v>2.1387142857142853</c:v>
                </c:pt>
                <c:pt idx="21">
                  <c:v>2.0414999999999996</c:v>
                </c:pt>
                <c:pt idx="22">
                  <c:v>1.9527391304347825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843944"/>
        <c:axId val="315844336"/>
      </c:lineChart>
      <c:catAx>
        <c:axId val="315843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844336"/>
        <c:crosses val="autoZero"/>
        <c:auto val="0"/>
        <c:lblAlgn val="ctr"/>
        <c:lblOffset val="100"/>
        <c:noMultiLvlLbl val="0"/>
      </c:catAx>
      <c:valAx>
        <c:axId val="3158443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8439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Product!$C$15:$Y$15</c:f>
              <c:numCache>
                <c:formatCode>0.00</c:formatCode>
                <c:ptCount val="23"/>
                <c:pt idx="0">
                  <c:v>0.25</c:v>
                </c:pt>
                <c:pt idx="1">
                  <c:v>1.25</c:v>
                </c:pt>
                <c:pt idx="2">
                  <c:v>4</c:v>
                </c:pt>
                <c:pt idx="3">
                  <c:v>0.5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Product!$C$9:$Y$9</c:f>
              <c:numCache>
                <c:formatCode>0.00</c:formatCode>
                <c:ptCount val="23"/>
                <c:pt idx="0">
                  <c:v>1</c:v>
                </c:pt>
                <c:pt idx="1">
                  <c:v>1.75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5.0670000000000002</c:v>
                </c:pt>
                <c:pt idx="6">
                  <c:v>5.5</c:v>
                </c:pt>
                <c:pt idx="7">
                  <c:v>6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5846296"/>
        <c:axId val="315845904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Product!$C$27:$Y$27</c:f>
              <c:numCache>
                <c:formatCode>0.00</c:formatCode>
                <c:ptCount val="23"/>
                <c:pt idx="0">
                  <c:v>1.25</c:v>
                </c:pt>
                <c:pt idx="1">
                  <c:v>1.5</c:v>
                </c:pt>
                <c:pt idx="2">
                  <c:v>2.6666666666666665</c:v>
                </c:pt>
                <c:pt idx="3">
                  <c:v>2.75</c:v>
                </c:pt>
                <c:pt idx="4">
                  <c:v>2.4</c:v>
                </c:pt>
                <c:pt idx="5">
                  <c:v>2.8445</c:v>
                </c:pt>
                <c:pt idx="6">
                  <c:v>3.2238571428571428</c:v>
                </c:pt>
                <c:pt idx="7">
                  <c:v>3.570875</c:v>
                </c:pt>
                <c:pt idx="8">
                  <c:v>3.7296666666666667</c:v>
                </c:pt>
                <c:pt idx="9">
                  <c:v>3.3567</c:v>
                </c:pt>
                <c:pt idx="10">
                  <c:v>3.0515454545454546</c:v>
                </c:pt>
                <c:pt idx="11">
                  <c:v>2.79725</c:v>
                </c:pt>
                <c:pt idx="12">
                  <c:v>2.5820769230769232</c:v>
                </c:pt>
                <c:pt idx="13">
                  <c:v>2.397642857142857</c:v>
                </c:pt>
                <c:pt idx="14">
                  <c:v>2.2378</c:v>
                </c:pt>
                <c:pt idx="15">
                  <c:v>2.0979375</c:v>
                </c:pt>
                <c:pt idx="16">
                  <c:v>1.9745294117647059</c:v>
                </c:pt>
                <c:pt idx="17">
                  <c:v>1.8648333333333333</c:v>
                </c:pt>
                <c:pt idx="18">
                  <c:v>1.7666842105263159</c:v>
                </c:pt>
                <c:pt idx="19">
                  <c:v>1.67835</c:v>
                </c:pt>
                <c:pt idx="20">
                  <c:v>1.5984285714285715</c:v>
                </c:pt>
                <c:pt idx="21">
                  <c:v>1.5257727272727273</c:v>
                </c:pt>
                <c:pt idx="22">
                  <c:v>1.4594347826086957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846296"/>
        <c:axId val="315845904"/>
      </c:lineChart>
      <c:catAx>
        <c:axId val="315846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845904"/>
        <c:crosses val="autoZero"/>
        <c:auto val="0"/>
        <c:lblAlgn val="ctr"/>
        <c:lblOffset val="100"/>
        <c:noMultiLvlLbl val="0"/>
      </c:catAx>
      <c:valAx>
        <c:axId val="3158459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8462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Product!$C$16:$Y$16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Product!$C$10:$Y$10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5854136"/>
        <c:axId val="315852568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Product!$C$28:$Y$28</c:f>
              <c:numCache>
                <c:formatCode>0.00</c:formatCode>
                <c:ptCount val="23"/>
                <c:pt idx="0">
                  <c:v>0</c:v>
                </c:pt>
                <c:pt idx="1">
                  <c:v>6.875</c:v>
                </c:pt>
                <c:pt idx="2">
                  <c:v>8.7166666666666668</c:v>
                </c:pt>
                <c:pt idx="3">
                  <c:v>8.1</c:v>
                </c:pt>
                <c:pt idx="4">
                  <c:v>7.08</c:v>
                </c:pt>
                <c:pt idx="5">
                  <c:v>5.8999999999999995</c:v>
                </c:pt>
                <c:pt idx="6">
                  <c:v>5.0571428571428569</c:v>
                </c:pt>
                <c:pt idx="7">
                  <c:v>4.4249999999999998</c:v>
                </c:pt>
                <c:pt idx="8">
                  <c:v>3.9333333333333331</c:v>
                </c:pt>
                <c:pt idx="9">
                  <c:v>3.54</c:v>
                </c:pt>
                <c:pt idx="10">
                  <c:v>3.2181818181818183</c:v>
                </c:pt>
                <c:pt idx="11">
                  <c:v>2.9499999999999997</c:v>
                </c:pt>
                <c:pt idx="12">
                  <c:v>2.7230769230769232</c:v>
                </c:pt>
                <c:pt idx="13">
                  <c:v>2.5285714285714285</c:v>
                </c:pt>
                <c:pt idx="14">
                  <c:v>2.36</c:v>
                </c:pt>
                <c:pt idx="15">
                  <c:v>2.2124999999999999</c:v>
                </c:pt>
                <c:pt idx="16">
                  <c:v>2.0823529411764703</c:v>
                </c:pt>
                <c:pt idx="17">
                  <c:v>1.9666666666666666</c:v>
                </c:pt>
                <c:pt idx="18">
                  <c:v>1.8631578947368421</c:v>
                </c:pt>
                <c:pt idx="19">
                  <c:v>1.77</c:v>
                </c:pt>
                <c:pt idx="20">
                  <c:v>1.6857142857142857</c:v>
                </c:pt>
                <c:pt idx="21">
                  <c:v>1.6090909090909091</c:v>
                </c:pt>
                <c:pt idx="22">
                  <c:v>1.5391304347826087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854136"/>
        <c:axId val="315852568"/>
      </c:lineChart>
      <c:catAx>
        <c:axId val="315854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852568"/>
        <c:crosses val="autoZero"/>
        <c:auto val="0"/>
        <c:lblAlgn val="ctr"/>
        <c:lblOffset val="100"/>
        <c:noMultiLvlLbl val="0"/>
      </c:catAx>
      <c:valAx>
        <c:axId val="3158525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8541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0'!$C$22:$W$22</c:f>
              <c:numCache>
                <c:formatCode>0.00</c:formatCode>
                <c:ptCount val="21"/>
                <c:pt idx="0">
                  <c:v>0</c:v>
                </c:pt>
                <c:pt idx="1">
                  <c:v>0.58000000000000007</c:v>
                </c:pt>
                <c:pt idx="2">
                  <c:v>1</c:v>
                </c:pt>
                <c:pt idx="3">
                  <c:v>1.33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2.5</c:v>
                </c:pt>
                <c:pt idx="9">
                  <c:v>3</c:v>
                </c:pt>
                <c:pt idx="10">
                  <c:v>3.75</c:v>
                </c:pt>
                <c:pt idx="11">
                  <c:v>2</c:v>
                </c:pt>
                <c:pt idx="12">
                  <c:v>0</c:v>
                </c:pt>
                <c:pt idx="13">
                  <c:v>2.5</c:v>
                </c:pt>
                <c:pt idx="14">
                  <c:v>3.4</c:v>
                </c:pt>
                <c:pt idx="15">
                  <c:v>2.5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3.5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0'!$C$10:$W$10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1.5</c:v>
                </c:pt>
                <c:pt idx="16">
                  <c:v>1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5846688"/>
        <c:axId val="31585021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0'!$C$34:$W$34</c:f>
              <c:numCache>
                <c:formatCode>0.00</c:formatCode>
                <c:ptCount val="21"/>
                <c:pt idx="0">
                  <c:v>0</c:v>
                </c:pt>
                <c:pt idx="1">
                  <c:v>0.29000000000000004</c:v>
                </c:pt>
                <c:pt idx="2">
                  <c:v>0.52666666666666673</c:v>
                </c:pt>
                <c:pt idx="3">
                  <c:v>1.4775</c:v>
                </c:pt>
                <c:pt idx="4">
                  <c:v>1.1819999999999999</c:v>
                </c:pt>
                <c:pt idx="5">
                  <c:v>0.98499999999999999</c:v>
                </c:pt>
                <c:pt idx="6">
                  <c:v>0.84428571428571431</c:v>
                </c:pt>
                <c:pt idx="7">
                  <c:v>0.73875000000000002</c:v>
                </c:pt>
                <c:pt idx="8">
                  <c:v>1.1566666666666667</c:v>
                </c:pt>
                <c:pt idx="9">
                  <c:v>1.4410000000000001</c:v>
                </c:pt>
                <c:pt idx="10">
                  <c:v>1.6736363636363638</c:v>
                </c:pt>
                <c:pt idx="11">
                  <c:v>1.7008333333333334</c:v>
                </c:pt>
                <c:pt idx="12">
                  <c:v>1.57</c:v>
                </c:pt>
                <c:pt idx="13">
                  <c:v>1.6364285714285713</c:v>
                </c:pt>
                <c:pt idx="14">
                  <c:v>1.954</c:v>
                </c:pt>
                <c:pt idx="15">
                  <c:v>2.0818750000000001</c:v>
                </c:pt>
                <c:pt idx="16">
                  <c:v>2.0770588235294118</c:v>
                </c:pt>
                <c:pt idx="17">
                  <c:v>2.1005555555555557</c:v>
                </c:pt>
                <c:pt idx="18">
                  <c:v>1.9900000000000002</c:v>
                </c:pt>
                <c:pt idx="19">
                  <c:v>2.0905</c:v>
                </c:pt>
                <c:pt idx="20">
                  <c:v>1.9909523809523813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846688"/>
        <c:axId val="315850216"/>
      </c:lineChart>
      <c:catAx>
        <c:axId val="315846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850216"/>
        <c:crosses val="autoZero"/>
        <c:auto val="1"/>
        <c:lblAlgn val="ctr"/>
        <c:lblOffset val="100"/>
        <c:noMultiLvlLbl val="1"/>
      </c:catAx>
      <c:valAx>
        <c:axId val="31585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84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0'!$C$18:$W$18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0'!$C$6:$W$6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5852960"/>
        <c:axId val="315845512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0'!$C$30:$W$30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0.4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0.25</c:v>
                </c:pt>
                <c:pt idx="8">
                  <c:v>0.33333333333333331</c:v>
                </c:pt>
                <c:pt idx="9">
                  <c:v>0.3</c:v>
                </c:pt>
                <c:pt idx="10">
                  <c:v>0.45454545454545453</c:v>
                </c:pt>
                <c:pt idx="11">
                  <c:v>0.58333333333333337</c:v>
                </c:pt>
                <c:pt idx="12">
                  <c:v>0.53846153846153844</c:v>
                </c:pt>
                <c:pt idx="13">
                  <c:v>0.5</c:v>
                </c:pt>
                <c:pt idx="14">
                  <c:v>0.5</c:v>
                </c:pt>
                <c:pt idx="15">
                  <c:v>0.53125</c:v>
                </c:pt>
                <c:pt idx="16">
                  <c:v>0.5</c:v>
                </c:pt>
                <c:pt idx="17">
                  <c:v>0.47222222222222221</c:v>
                </c:pt>
                <c:pt idx="18">
                  <c:v>0.44736842105263158</c:v>
                </c:pt>
                <c:pt idx="19">
                  <c:v>0.57499999999999996</c:v>
                </c:pt>
                <c:pt idx="20">
                  <c:v>0.54761904761904767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852960"/>
        <c:axId val="315845512"/>
      </c:lineChart>
      <c:catAx>
        <c:axId val="3158529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845512"/>
        <c:crosses val="autoZero"/>
        <c:auto val="1"/>
        <c:lblAlgn val="ctr"/>
        <c:lblOffset val="100"/>
        <c:noMultiLvlLbl val="1"/>
      </c:catAx>
      <c:valAx>
        <c:axId val="3158455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8529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0'!$C$19:$W$19</c:f>
              <c:numCache>
                <c:formatCode>0.00</c:formatCode>
                <c:ptCount val="21"/>
                <c:pt idx="0">
                  <c:v>0</c:v>
                </c:pt>
                <c:pt idx="1">
                  <c:v>0.33</c:v>
                </c:pt>
                <c:pt idx="2">
                  <c:v>1</c:v>
                </c:pt>
                <c:pt idx="3">
                  <c:v>1.33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2.5</c:v>
                </c:pt>
                <c:pt idx="9">
                  <c:v>2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2.5</c:v>
                </c:pt>
                <c:pt idx="14">
                  <c:v>1.9</c:v>
                </c:pt>
                <c:pt idx="15">
                  <c:v>0.5</c:v>
                </c:pt>
                <c:pt idx="16">
                  <c:v>1</c:v>
                </c:pt>
                <c:pt idx="17">
                  <c:v>1.5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0'!$C$7:$W$7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5843160"/>
        <c:axId val="315849432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0'!$C$31:$W$31</c:f>
              <c:numCache>
                <c:formatCode>0.00</c:formatCode>
                <c:ptCount val="21"/>
                <c:pt idx="0">
                  <c:v>0</c:v>
                </c:pt>
                <c:pt idx="1">
                  <c:v>0.16500000000000001</c:v>
                </c:pt>
                <c:pt idx="2">
                  <c:v>0.44333333333333336</c:v>
                </c:pt>
                <c:pt idx="3">
                  <c:v>0.66500000000000004</c:v>
                </c:pt>
                <c:pt idx="4">
                  <c:v>0.53200000000000003</c:v>
                </c:pt>
                <c:pt idx="5">
                  <c:v>0.44333333333333336</c:v>
                </c:pt>
                <c:pt idx="6">
                  <c:v>0.38</c:v>
                </c:pt>
                <c:pt idx="7">
                  <c:v>0.33250000000000002</c:v>
                </c:pt>
                <c:pt idx="8">
                  <c:v>0.62888888888888894</c:v>
                </c:pt>
                <c:pt idx="9">
                  <c:v>0.76600000000000001</c:v>
                </c:pt>
                <c:pt idx="10">
                  <c:v>0.83272727272727276</c:v>
                </c:pt>
                <c:pt idx="11">
                  <c:v>0.76333333333333331</c:v>
                </c:pt>
                <c:pt idx="12">
                  <c:v>0.70461538461538464</c:v>
                </c:pt>
                <c:pt idx="13">
                  <c:v>0.83285714285714285</c:v>
                </c:pt>
                <c:pt idx="14">
                  <c:v>0.90400000000000003</c:v>
                </c:pt>
                <c:pt idx="15">
                  <c:v>0.91</c:v>
                </c:pt>
                <c:pt idx="16">
                  <c:v>0.91529411764705881</c:v>
                </c:pt>
                <c:pt idx="17">
                  <c:v>0.94777777777777794</c:v>
                </c:pt>
                <c:pt idx="18">
                  <c:v>0.89789473684210541</c:v>
                </c:pt>
                <c:pt idx="19">
                  <c:v>0.85300000000000009</c:v>
                </c:pt>
                <c:pt idx="20">
                  <c:v>0.81238095238095254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843160"/>
        <c:axId val="315849432"/>
      </c:lineChart>
      <c:catAx>
        <c:axId val="315843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849432"/>
        <c:crosses val="autoZero"/>
        <c:auto val="1"/>
        <c:lblAlgn val="ctr"/>
        <c:lblOffset val="100"/>
        <c:noMultiLvlLbl val="1"/>
      </c:catAx>
      <c:valAx>
        <c:axId val="3158494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8431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0'!$C$20:$W$20</c:f>
              <c:numCache>
                <c:formatCode>0.00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0'!$C$8:$W$8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1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5844728"/>
        <c:axId val="315843552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0'!$C$32:$W$32</c:f>
              <c:numCache>
                <c:formatCode>0.00</c:formatCode>
                <c:ptCount val="21"/>
                <c:pt idx="0">
                  <c:v>0</c:v>
                </c:pt>
                <c:pt idx="1">
                  <c:v>0.125</c:v>
                </c:pt>
                <c:pt idx="2">
                  <c:v>8.3333333333333329E-2</c:v>
                </c:pt>
                <c:pt idx="3">
                  <c:v>0.3125</c:v>
                </c:pt>
                <c:pt idx="4">
                  <c:v>0.25</c:v>
                </c:pt>
                <c:pt idx="5">
                  <c:v>0.20833333333333334</c:v>
                </c:pt>
                <c:pt idx="6">
                  <c:v>0.17857142857142858</c:v>
                </c:pt>
                <c:pt idx="7">
                  <c:v>0.15625</c:v>
                </c:pt>
                <c:pt idx="8">
                  <c:v>0.19444444444444445</c:v>
                </c:pt>
                <c:pt idx="9">
                  <c:v>0.375</c:v>
                </c:pt>
                <c:pt idx="10">
                  <c:v>0.38636363636363635</c:v>
                </c:pt>
                <c:pt idx="11">
                  <c:v>0.35416666666666669</c:v>
                </c:pt>
                <c:pt idx="12">
                  <c:v>0.32692307692307693</c:v>
                </c:pt>
                <c:pt idx="13">
                  <c:v>0.30357142857142855</c:v>
                </c:pt>
                <c:pt idx="14">
                  <c:v>0.55000000000000004</c:v>
                </c:pt>
                <c:pt idx="15">
                  <c:v>0.640625</c:v>
                </c:pt>
                <c:pt idx="16">
                  <c:v>0.66176470588235292</c:v>
                </c:pt>
                <c:pt idx="17">
                  <c:v>0.68055555555555558</c:v>
                </c:pt>
                <c:pt idx="18">
                  <c:v>0.64473684210526316</c:v>
                </c:pt>
                <c:pt idx="19">
                  <c:v>0.66249999999999998</c:v>
                </c:pt>
                <c:pt idx="20">
                  <c:v>0.63095238095238093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844728"/>
        <c:axId val="315843552"/>
      </c:lineChart>
      <c:catAx>
        <c:axId val="315844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843552"/>
        <c:crosses val="autoZero"/>
        <c:auto val="1"/>
        <c:lblAlgn val="ctr"/>
        <c:lblOffset val="100"/>
        <c:noMultiLvlLbl val="1"/>
      </c:catAx>
      <c:valAx>
        <c:axId val="3158435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8447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0'!$C$21:$W$21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0'!$C$9:$W$9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5853352"/>
        <c:axId val="315847080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0'!$C$33:$W$33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853352"/>
        <c:axId val="315847080"/>
      </c:lineChart>
      <c:catAx>
        <c:axId val="315853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847080"/>
        <c:crosses val="autoZero"/>
        <c:auto val="1"/>
        <c:lblAlgn val="ctr"/>
        <c:lblOffset val="100"/>
        <c:noMultiLvlLbl val="1"/>
      </c:catAx>
      <c:valAx>
        <c:axId val="3158470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8533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1'!$C$22:$P$22</c:f>
              <c:numCache>
                <c:formatCode>0.00</c:formatCode>
                <c:ptCount val="14"/>
                <c:pt idx="0">
                  <c:v>4</c:v>
                </c:pt>
                <c:pt idx="1">
                  <c:v>0.75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2.5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1'!$C$10:$P$10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2.5</c:v>
                </c:pt>
                <c:pt idx="7">
                  <c:v>4.5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5847472"/>
        <c:axId val="315848648"/>
      </c:barChart>
      <c:lineChart>
        <c:grouping val="standard"/>
        <c:varyColors val="0"/>
        <c:ser>
          <c:idx val="1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1'!$C$34:$P$34</c:f>
              <c:numCache>
                <c:formatCode>0.00</c:formatCode>
                <c:ptCount val="14"/>
                <c:pt idx="0">
                  <c:v>4</c:v>
                </c:pt>
                <c:pt idx="1">
                  <c:v>3.125</c:v>
                </c:pt>
                <c:pt idx="2">
                  <c:v>2.0833333333333335</c:v>
                </c:pt>
                <c:pt idx="3">
                  <c:v>1.8125</c:v>
                </c:pt>
                <c:pt idx="4">
                  <c:v>1.45</c:v>
                </c:pt>
                <c:pt idx="5">
                  <c:v>1.2083333333333333</c:v>
                </c:pt>
                <c:pt idx="6">
                  <c:v>1.5357142857142858</c:v>
                </c:pt>
                <c:pt idx="7">
                  <c:v>1.90625</c:v>
                </c:pt>
                <c:pt idx="8">
                  <c:v>1.9166666666666665</c:v>
                </c:pt>
                <c:pt idx="9">
                  <c:v>1.7749999999999999</c:v>
                </c:pt>
                <c:pt idx="10">
                  <c:v>1.6136363636363638</c:v>
                </c:pt>
                <c:pt idx="11">
                  <c:v>1.4791666666666667</c:v>
                </c:pt>
                <c:pt idx="12">
                  <c:v>1.3653846153846154</c:v>
                </c:pt>
                <c:pt idx="13">
                  <c:v>1.5178571428571428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847472"/>
        <c:axId val="315848648"/>
      </c:lineChart>
      <c:catAx>
        <c:axId val="315847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848648"/>
        <c:crosses val="autoZero"/>
        <c:auto val="0"/>
        <c:lblAlgn val="ctr"/>
        <c:lblOffset val="100"/>
        <c:noMultiLvlLbl val="1"/>
      </c:catAx>
      <c:valAx>
        <c:axId val="315848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84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1'!$C$6:$P$6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4.5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5851000"/>
        <c:axId val="315853744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1'!$C$30:$P$30</c:f>
              <c:numCache>
                <c:formatCode>0.00</c:formatCode>
                <c:ptCount val="14"/>
                <c:pt idx="0">
                  <c:v>0</c:v>
                </c:pt>
                <c:pt idx="1">
                  <c:v>0.25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0.6875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0.54545454545454541</c:v>
                </c:pt>
                <c:pt idx="11">
                  <c:v>0.5</c:v>
                </c:pt>
                <c:pt idx="12">
                  <c:v>0.46153846153846156</c:v>
                </c:pt>
                <c:pt idx="13">
                  <c:v>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851000"/>
        <c:axId val="315853744"/>
      </c:lineChart>
      <c:catAx>
        <c:axId val="315851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853744"/>
        <c:crosses val="autoZero"/>
        <c:auto val="1"/>
        <c:lblAlgn val="ctr"/>
        <c:lblOffset val="100"/>
        <c:noMultiLvlLbl val="1"/>
      </c:catAx>
      <c:valAx>
        <c:axId val="3158537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8510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1'!$C$19:$P$19</c:f>
              <c:numCache>
                <c:formatCode>0.00</c:formatCode>
                <c:ptCount val="14"/>
                <c:pt idx="0">
                  <c:v>4</c:v>
                </c:pt>
                <c:pt idx="1">
                  <c:v>0.75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1.5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1'!$C$7:$P$7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5855704"/>
        <c:axId val="315857272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1'!$C$31:$P$31</c:f>
              <c:numCache>
                <c:formatCode>0.00</c:formatCode>
                <c:ptCount val="14"/>
                <c:pt idx="0">
                  <c:v>4</c:v>
                </c:pt>
                <c:pt idx="1">
                  <c:v>2.625</c:v>
                </c:pt>
                <c:pt idx="2">
                  <c:v>1.75</c:v>
                </c:pt>
                <c:pt idx="3">
                  <c:v>1.4375</c:v>
                </c:pt>
                <c:pt idx="4">
                  <c:v>1.1499999999999999</c:v>
                </c:pt>
                <c:pt idx="5">
                  <c:v>0.95833333333333337</c:v>
                </c:pt>
                <c:pt idx="6">
                  <c:v>0.8928571428571429</c:v>
                </c:pt>
                <c:pt idx="7">
                  <c:v>0.78125</c:v>
                </c:pt>
                <c:pt idx="8">
                  <c:v>0.86111111111111116</c:v>
                </c:pt>
                <c:pt idx="9">
                  <c:v>0.77500000000000002</c:v>
                </c:pt>
                <c:pt idx="10">
                  <c:v>0.70454545454545459</c:v>
                </c:pt>
                <c:pt idx="11">
                  <c:v>0.64583333333333337</c:v>
                </c:pt>
                <c:pt idx="12">
                  <c:v>0.59615384615384615</c:v>
                </c:pt>
                <c:pt idx="13">
                  <c:v>0.6607142857142857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855704"/>
        <c:axId val="315857272"/>
      </c:lineChart>
      <c:catAx>
        <c:axId val="315855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857272"/>
        <c:crosses val="autoZero"/>
        <c:auto val="1"/>
        <c:lblAlgn val="ctr"/>
        <c:lblOffset val="100"/>
        <c:noMultiLvlLbl val="1"/>
      </c:catAx>
      <c:valAx>
        <c:axId val="3158572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8557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1'!$C$8:$P$8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5856880"/>
        <c:axId val="315857664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1'!$C$32:$P$32</c:f>
              <c:numCache>
                <c:formatCode>0.00</c:formatCode>
                <c:ptCount val="14"/>
                <c:pt idx="0">
                  <c:v>0</c:v>
                </c:pt>
                <c:pt idx="1">
                  <c:v>0.25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</c:v>
                </c:pt>
                <c:pt idx="5">
                  <c:v>8.3333333333333329E-2</c:v>
                </c:pt>
                <c:pt idx="6">
                  <c:v>0.5</c:v>
                </c:pt>
                <c:pt idx="7">
                  <c:v>0.4375</c:v>
                </c:pt>
                <c:pt idx="8">
                  <c:v>0.3888888888888889</c:v>
                </c:pt>
                <c:pt idx="9">
                  <c:v>0.4</c:v>
                </c:pt>
                <c:pt idx="10">
                  <c:v>0.36363636363636365</c:v>
                </c:pt>
                <c:pt idx="11">
                  <c:v>0.33333333333333331</c:v>
                </c:pt>
                <c:pt idx="12">
                  <c:v>0.30769230769230771</c:v>
                </c:pt>
                <c:pt idx="13">
                  <c:v>0.35714285714285715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856880"/>
        <c:axId val="315857664"/>
      </c:lineChart>
      <c:catAx>
        <c:axId val="315856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857664"/>
        <c:crosses val="autoZero"/>
        <c:auto val="1"/>
        <c:lblAlgn val="ctr"/>
        <c:lblOffset val="100"/>
        <c:noMultiLvlLbl val="1"/>
      </c:catAx>
      <c:valAx>
        <c:axId val="3158576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8568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5855312"/>
        <c:axId val="31585492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855312"/>
        <c:axId val="315854920"/>
      </c:lineChart>
      <c:catAx>
        <c:axId val="315855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854920"/>
        <c:crosses val="autoZero"/>
        <c:auto val="1"/>
        <c:lblAlgn val="ctr"/>
        <c:lblOffset val="100"/>
        <c:noMultiLvlLbl val="1"/>
      </c:catAx>
      <c:valAx>
        <c:axId val="3158549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8553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2'!$C$22:$P$22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3.75</c:v>
                </c:pt>
                <c:pt idx="5">
                  <c:v>2</c:v>
                </c:pt>
                <c:pt idx="6">
                  <c:v>6.0670000000000002</c:v>
                </c:pt>
                <c:pt idx="7">
                  <c:v>7.0170000000000003</c:v>
                </c:pt>
                <c:pt idx="8">
                  <c:v>6.4829999999999997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2</c:v>
                </c:pt>
                <c:pt idx="13">
                  <c:v>9.5030000000000001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7953184"/>
        <c:axId val="317956320"/>
      </c:barChart>
      <c:lineChart>
        <c:grouping val="standard"/>
        <c:varyColors val="0"/>
        <c:ser>
          <c:idx val="1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0.8</c:v>
                </c:pt>
                <c:pt idx="5">
                  <c:v>1</c:v>
                </c:pt>
                <c:pt idx="6">
                  <c:v>1.7238571428571428</c:v>
                </c:pt>
                <c:pt idx="7">
                  <c:v>2.3855</c:v>
                </c:pt>
                <c:pt idx="8">
                  <c:v>2.8407777777777778</c:v>
                </c:pt>
                <c:pt idx="9">
                  <c:v>2.5567000000000002</c:v>
                </c:pt>
                <c:pt idx="10">
                  <c:v>2.597</c:v>
                </c:pt>
                <c:pt idx="11">
                  <c:v>2.3805833333333335</c:v>
                </c:pt>
                <c:pt idx="12">
                  <c:v>2.3513076923076923</c:v>
                </c:pt>
                <c:pt idx="13">
                  <c:v>2.8621428571428571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953184"/>
        <c:axId val="317956320"/>
      </c:lineChart>
      <c:catAx>
        <c:axId val="317953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56320"/>
        <c:crosses val="autoZero"/>
        <c:auto val="0"/>
        <c:lblAlgn val="ctr"/>
        <c:lblOffset val="100"/>
        <c:noMultiLvlLbl val="1"/>
      </c:catAx>
      <c:valAx>
        <c:axId val="31795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53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3.75</c:v>
                </c:pt>
                <c:pt idx="5">
                  <c:v>0</c:v>
                </c:pt>
                <c:pt idx="6">
                  <c:v>1</c:v>
                </c:pt>
                <c:pt idx="7">
                  <c:v>4.5170000000000003</c:v>
                </c:pt>
                <c:pt idx="8">
                  <c:v>0.48299999999999998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7958672"/>
        <c:axId val="31796220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0.8</c:v>
                </c:pt>
                <c:pt idx="5">
                  <c:v>0.66666666666666663</c:v>
                </c:pt>
                <c:pt idx="6">
                  <c:v>0.7142857142857143</c:v>
                </c:pt>
                <c:pt idx="7">
                  <c:v>1.1896249999999999</c:v>
                </c:pt>
                <c:pt idx="8">
                  <c:v>1.1111111111111112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0.76923076923076927</c:v>
                </c:pt>
                <c:pt idx="13">
                  <c:v>1.1071428571428572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958672"/>
        <c:axId val="317962200"/>
      </c:lineChart>
      <c:catAx>
        <c:axId val="317958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62200"/>
        <c:crosses val="autoZero"/>
        <c:auto val="1"/>
        <c:lblAlgn val="ctr"/>
        <c:lblOffset val="100"/>
        <c:noMultiLvlLbl val="1"/>
      </c:catAx>
      <c:valAx>
        <c:axId val="3179622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586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4.0030000000000001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7963376"/>
        <c:axId val="317955144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0.5</c:v>
                </c:pt>
                <c:pt idx="8">
                  <c:v>1.1111111111111112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0.76923076923076927</c:v>
                </c:pt>
                <c:pt idx="13">
                  <c:v>1.0002142857142857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963376"/>
        <c:axId val="317955144"/>
      </c:lineChart>
      <c:catAx>
        <c:axId val="317963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55144"/>
        <c:crosses val="autoZero"/>
        <c:auto val="1"/>
        <c:lblAlgn val="ctr"/>
        <c:lblOffset val="100"/>
        <c:noMultiLvlLbl val="1"/>
      </c:catAx>
      <c:valAx>
        <c:axId val="3179551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633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5.0670000000000002</c:v>
                </c:pt>
                <c:pt idx="7">
                  <c:v>0.5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7953968"/>
        <c:axId val="31795240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0.72385714285714287</c:v>
                </c:pt>
                <c:pt idx="7">
                  <c:v>0.69587500000000002</c:v>
                </c:pt>
                <c:pt idx="8">
                  <c:v>0.61855555555555553</c:v>
                </c:pt>
                <c:pt idx="9">
                  <c:v>0.55669999999999997</c:v>
                </c:pt>
                <c:pt idx="10">
                  <c:v>0.77881818181818185</c:v>
                </c:pt>
                <c:pt idx="11">
                  <c:v>0.71391666666666664</c:v>
                </c:pt>
                <c:pt idx="12">
                  <c:v>0.81284615384615388</c:v>
                </c:pt>
                <c:pt idx="13">
                  <c:v>0.75478571428571428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953968"/>
        <c:axId val="317952400"/>
      </c:lineChart>
      <c:catAx>
        <c:axId val="317953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52400"/>
        <c:crosses val="autoZero"/>
        <c:auto val="1"/>
        <c:lblAlgn val="ctr"/>
        <c:lblOffset val="100"/>
        <c:noMultiLvlLbl val="1"/>
      </c:catAx>
      <c:valAx>
        <c:axId val="3179524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539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7954360"/>
        <c:axId val="317957496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954360"/>
        <c:axId val="317957496"/>
      </c:lineChart>
      <c:catAx>
        <c:axId val="317954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57496"/>
        <c:crosses val="autoZero"/>
        <c:auto val="1"/>
        <c:lblAlgn val="ctr"/>
        <c:lblOffset val="100"/>
        <c:noMultiLvlLbl val="1"/>
      </c:catAx>
      <c:valAx>
        <c:axId val="3179574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543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3'!$C$22:$P$22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3'!$C$10:$P$10</c:f>
              <c:numCache>
                <c:formatCode>0.00</c:formatCode>
                <c:ptCount val="14"/>
                <c:pt idx="0">
                  <c:v>0.25</c:v>
                </c:pt>
                <c:pt idx="1">
                  <c:v>9.75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2</c:v>
                </c:pt>
                <c:pt idx="6">
                  <c:v>9</c:v>
                </c:pt>
                <c:pt idx="7">
                  <c:v>4</c:v>
                </c:pt>
                <c:pt idx="8">
                  <c:v>6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7959064"/>
        <c:axId val="317964160"/>
      </c:barChart>
      <c:lineChart>
        <c:grouping val="standard"/>
        <c:varyColors val="0"/>
        <c:ser>
          <c:idx val="1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3'!$C$34:$P$34</c:f>
              <c:numCache>
                <c:formatCode>0.00</c:formatCode>
                <c:ptCount val="14"/>
                <c:pt idx="0">
                  <c:v>0.25</c:v>
                </c:pt>
                <c:pt idx="1">
                  <c:v>5</c:v>
                </c:pt>
                <c:pt idx="2">
                  <c:v>4.3333333333333339</c:v>
                </c:pt>
                <c:pt idx="3">
                  <c:v>3.25</c:v>
                </c:pt>
                <c:pt idx="4">
                  <c:v>3.4000000000000004</c:v>
                </c:pt>
                <c:pt idx="5">
                  <c:v>3.166666666666667</c:v>
                </c:pt>
                <c:pt idx="6">
                  <c:v>4</c:v>
                </c:pt>
                <c:pt idx="7">
                  <c:v>4</c:v>
                </c:pt>
                <c:pt idx="8">
                  <c:v>4.2222222222222223</c:v>
                </c:pt>
                <c:pt idx="9">
                  <c:v>4.3000000000000007</c:v>
                </c:pt>
                <c:pt idx="10">
                  <c:v>3.9090909090909092</c:v>
                </c:pt>
                <c:pt idx="11">
                  <c:v>3.583333333333333</c:v>
                </c:pt>
                <c:pt idx="12">
                  <c:v>3.4615384615384617</c:v>
                </c:pt>
                <c:pt idx="13">
                  <c:v>3.5714285714285712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959064"/>
        <c:axId val="317964160"/>
      </c:lineChart>
      <c:catAx>
        <c:axId val="317959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64160"/>
        <c:crosses val="autoZero"/>
        <c:auto val="0"/>
        <c:lblAlgn val="ctr"/>
        <c:lblOffset val="100"/>
        <c:noMultiLvlLbl val="1"/>
      </c:catAx>
      <c:valAx>
        <c:axId val="31796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59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3'!$C$6:$P$6</c:f>
              <c:numCache>
                <c:formatCode>0.00</c:formatCode>
                <c:ptCount val="14"/>
                <c:pt idx="0">
                  <c:v>0.25</c:v>
                </c:pt>
                <c:pt idx="1">
                  <c:v>2.75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7952008"/>
        <c:axId val="317954752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3'!$C$30:$P$30</c:f>
              <c:numCache>
                <c:formatCode>0.00</c:formatCode>
                <c:ptCount val="14"/>
                <c:pt idx="0">
                  <c:v>0.25</c:v>
                </c:pt>
                <c:pt idx="1">
                  <c:v>1.5</c:v>
                </c:pt>
                <c:pt idx="2">
                  <c:v>2</c:v>
                </c:pt>
                <c:pt idx="3">
                  <c:v>1.5</c:v>
                </c:pt>
                <c:pt idx="4">
                  <c:v>1.2</c:v>
                </c:pt>
                <c:pt idx="5">
                  <c:v>1</c:v>
                </c:pt>
                <c:pt idx="6">
                  <c:v>1.5714285714285714</c:v>
                </c:pt>
                <c:pt idx="7">
                  <c:v>1.75</c:v>
                </c:pt>
                <c:pt idx="8">
                  <c:v>1.6666666666666667</c:v>
                </c:pt>
                <c:pt idx="9">
                  <c:v>1.8</c:v>
                </c:pt>
                <c:pt idx="10">
                  <c:v>1.6363636363636365</c:v>
                </c:pt>
                <c:pt idx="11">
                  <c:v>1.5</c:v>
                </c:pt>
                <c:pt idx="12">
                  <c:v>1.3846153846153846</c:v>
                </c:pt>
                <c:pt idx="13">
                  <c:v>1.4285714285714286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952008"/>
        <c:axId val="317954752"/>
      </c:lineChart>
      <c:catAx>
        <c:axId val="317952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54752"/>
        <c:crosses val="autoZero"/>
        <c:auto val="1"/>
        <c:lblAlgn val="ctr"/>
        <c:lblOffset val="100"/>
        <c:noMultiLvlLbl val="1"/>
      </c:catAx>
      <c:valAx>
        <c:axId val="3179547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520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3'!$C$7:$P$7</c:f>
              <c:numCache>
                <c:formatCode>0.00</c:formatCode>
                <c:ptCount val="1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0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7961808"/>
        <c:axId val="317956712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3'!$C$31:$P$31</c:f>
              <c:numCache>
                <c:formatCode>0.00</c:formatCode>
                <c:ptCount val="14"/>
                <c:pt idx="0">
                  <c:v>0</c:v>
                </c:pt>
                <c:pt idx="1">
                  <c:v>2.5</c:v>
                </c:pt>
                <c:pt idx="2">
                  <c:v>1.6666666666666667</c:v>
                </c:pt>
                <c:pt idx="3">
                  <c:v>1.25</c:v>
                </c:pt>
                <c:pt idx="4">
                  <c:v>1</c:v>
                </c:pt>
                <c:pt idx="5">
                  <c:v>1.1666666666666667</c:v>
                </c:pt>
                <c:pt idx="6">
                  <c:v>1.5714285714285714</c:v>
                </c:pt>
                <c:pt idx="7">
                  <c:v>1.375</c:v>
                </c:pt>
                <c:pt idx="8">
                  <c:v>1.7777777777777777</c:v>
                </c:pt>
                <c:pt idx="9">
                  <c:v>1.6</c:v>
                </c:pt>
                <c:pt idx="10">
                  <c:v>1.4545454545454546</c:v>
                </c:pt>
                <c:pt idx="11">
                  <c:v>1.3333333333333333</c:v>
                </c:pt>
                <c:pt idx="12">
                  <c:v>1.2307692307692308</c:v>
                </c:pt>
                <c:pt idx="13">
                  <c:v>1.3571428571428572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961808"/>
        <c:axId val="317956712"/>
      </c:lineChart>
      <c:catAx>
        <c:axId val="317961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56712"/>
        <c:crosses val="autoZero"/>
        <c:auto val="1"/>
        <c:lblAlgn val="ctr"/>
        <c:lblOffset val="100"/>
        <c:noMultiLvlLbl val="1"/>
      </c:catAx>
      <c:valAx>
        <c:axId val="3179567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618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3'!$C$8:$P$8</c:f>
              <c:numCache>
                <c:formatCode>0.00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7959456"/>
        <c:axId val="317960240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3'!$C$32:$P$32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0.66666666666666663</c:v>
                </c:pt>
                <c:pt idx="3">
                  <c:v>0.5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0.875</c:v>
                </c:pt>
                <c:pt idx="8">
                  <c:v>0.77777777777777779</c:v>
                </c:pt>
                <c:pt idx="9">
                  <c:v>0.9</c:v>
                </c:pt>
                <c:pt idx="10">
                  <c:v>0.81818181818181823</c:v>
                </c:pt>
                <c:pt idx="11">
                  <c:v>0.75</c:v>
                </c:pt>
                <c:pt idx="12">
                  <c:v>0.84615384615384615</c:v>
                </c:pt>
                <c:pt idx="13">
                  <c:v>0.7857142857142857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959456"/>
        <c:axId val="317960240"/>
      </c:lineChart>
      <c:catAx>
        <c:axId val="317959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60240"/>
        <c:crosses val="autoZero"/>
        <c:auto val="1"/>
        <c:lblAlgn val="ctr"/>
        <c:lblOffset val="100"/>
        <c:noMultiLvlLbl val="1"/>
      </c:catAx>
      <c:valAx>
        <c:axId val="3179602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594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3'!$C$9:$P$9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7952792"/>
        <c:axId val="317960632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952792"/>
        <c:axId val="317960632"/>
      </c:lineChart>
      <c:catAx>
        <c:axId val="317952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60632"/>
        <c:crosses val="autoZero"/>
        <c:auto val="1"/>
        <c:lblAlgn val="ctr"/>
        <c:lblOffset val="100"/>
        <c:noMultiLvlLbl val="1"/>
      </c:catAx>
      <c:valAx>
        <c:axId val="3179606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527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4'!$C$22:$P$22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4'!$C$10:$P$10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7961416"/>
        <c:axId val="317966512"/>
      </c:barChart>
      <c:lineChart>
        <c:grouping val="standard"/>
        <c:varyColors val="0"/>
        <c:ser>
          <c:idx val="1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961416"/>
        <c:axId val="317966512"/>
      </c:lineChart>
      <c:catAx>
        <c:axId val="317961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66512"/>
        <c:crosses val="autoZero"/>
        <c:auto val="0"/>
        <c:lblAlgn val="ctr"/>
        <c:lblOffset val="100"/>
        <c:noMultiLvlLbl val="1"/>
      </c:catAx>
      <c:valAx>
        <c:axId val="31796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61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4'!$C$6:$P$6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7966904"/>
        <c:axId val="317967688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966904"/>
        <c:axId val="317967688"/>
      </c:lineChart>
      <c:catAx>
        <c:axId val="317966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67688"/>
        <c:crosses val="autoZero"/>
        <c:auto val="1"/>
        <c:lblAlgn val="ctr"/>
        <c:lblOffset val="100"/>
        <c:noMultiLvlLbl val="1"/>
      </c:catAx>
      <c:valAx>
        <c:axId val="3179676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669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4'!$C$7:$P$7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7965728"/>
        <c:axId val="317965336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965728"/>
        <c:axId val="317965336"/>
      </c:lineChart>
      <c:catAx>
        <c:axId val="317965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65336"/>
        <c:crosses val="autoZero"/>
        <c:auto val="1"/>
        <c:lblAlgn val="ctr"/>
        <c:lblOffset val="100"/>
        <c:noMultiLvlLbl val="1"/>
      </c:catAx>
      <c:valAx>
        <c:axId val="3179653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657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4'!$C$8:$P$8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6464304"/>
        <c:axId val="316461560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464304"/>
        <c:axId val="316461560"/>
      </c:lineChart>
      <c:catAx>
        <c:axId val="316464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461560"/>
        <c:crosses val="autoZero"/>
        <c:auto val="1"/>
        <c:lblAlgn val="ctr"/>
        <c:lblOffset val="100"/>
        <c:noMultiLvlLbl val="1"/>
      </c:catAx>
      <c:valAx>
        <c:axId val="3164615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4643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4'!$C$9:$P$9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2612136"/>
        <c:axId val="312610176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612136"/>
        <c:axId val="312610176"/>
      </c:lineChart>
      <c:catAx>
        <c:axId val="312612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610176"/>
        <c:crosses val="autoZero"/>
        <c:auto val="1"/>
        <c:lblAlgn val="ctr"/>
        <c:lblOffset val="100"/>
        <c:noMultiLvlLbl val="1"/>
      </c:catAx>
      <c:valAx>
        <c:axId val="3126101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6121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5'!$C$22:$P$22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2611744"/>
        <c:axId val="312610568"/>
      </c:barChart>
      <c:lineChart>
        <c:grouping val="standard"/>
        <c:varyColors val="0"/>
        <c:ser>
          <c:idx val="1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611744"/>
        <c:axId val="312610568"/>
      </c:lineChart>
      <c:catAx>
        <c:axId val="31261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610568"/>
        <c:crosses val="autoZero"/>
        <c:auto val="0"/>
        <c:lblAlgn val="ctr"/>
        <c:lblOffset val="100"/>
        <c:noMultiLvlLbl val="1"/>
      </c:catAx>
      <c:valAx>
        <c:axId val="312610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611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2607040"/>
        <c:axId val="312612528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607040"/>
        <c:axId val="312612528"/>
      </c:lineChart>
      <c:catAx>
        <c:axId val="312607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612528"/>
        <c:crosses val="autoZero"/>
        <c:auto val="1"/>
        <c:lblAlgn val="ctr"/>
        <c:lblOffset val="100"/>
        <c:noMultiLvlLbl val="1"/>
      </c:catAx>
      <c:valAx>
        <c:axId val="3126125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6070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2612920"/>
        <c:axId val="312608216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612920"/>
        <c:axId val="312608216"/>
      </c:lineChart>
      <c:catAx>
        <c:axId val="312612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608216"/>
        <c:crosses val="autoZero"/>
        <c:auto val="1"/>
        <c:lblAlgn val="ctr"/>
        <c:lblOffset val="100"/>
        <c:noMultiLvlLbl val="1"/>
      </c:catAx>
      <c:valAx>
        <c:axId val="3126082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6129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2614096"/>
        <c:axId val="312608608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614096"/>
        <c:axId val="312608608"/>
      </c:lineChart>
      <c:catAx>
        <c:axId val="312614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608608"/>
        <c:crosses val="autoZero"/>
        <c:auto val="1"/>
        <c:lblAlgn val="ctr"/>
        <c:lblOffset val="100"/>
        <c:noMultiLvlLbl val="1"/>
      </c:catAx>
      <c:valAx>
        <c:axId val="3126086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6140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2606648"/>
        <c:axId val="312609784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606648"/>
        <c:axId val="312609784"/>
      </c:lineChart>
      <c:catAx>
        <c:axId val="312606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609784"/>
        <c:crosses val="autoZero"/>
        <c:auto val="1"/>
        <c:lblAlgn val="ctr"/>
        <c:lblOffset val="100"/>
        <c:noMultiLvlLbl val="1"/>
      </c:catAx>
      <c:valAx>
        <c:axId val="3126097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6066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6'!$C$22:$P$22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5620696"/>
        <c:axId val="365619912"/>
      </c:barChart>
      <c:lineChart>
        <c:grouping val="standard"/>
        <c:varyColors val="0"/>
        <c:ser>
          <c:idx val="1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620696"/>
        <c:axId val="365619912"/>
      </c:lineChart>
      <c:catAx>
        <c:axId val="365620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19912"/>
        <c:crosses val="autoZero"/>
        <c:auto val="0"/>
        <c:lblAlgn val="ctr"/>
        <c:lblOffset val="100"/>
        <c:noMultiLvlLbl val="1"/>
      </c:catAx>
      <c:valAx>
        <c:axId val="365619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20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5630888"/>
        <c:axId val="365627360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630888"/>
        <c:axId val="365627360"/>
      </c:lineChart>
      <c:catAx>
        <c:axId val="365630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27360"/>
        <c:crosses val="autoZero"/>
        <c:auto val="1"/>
        <c:lblAlgn val="ctr"/>
        <c:lblOffset val="100"/>
        <c:noMultiLvlLbl val="1"/>
      </c:catAx>
      <c:valAx>
        <c:axId val="3656273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308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5624616"/>
        <c:axId val="365626968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624616"/>
        <c:axId val="365626968"/>
      </c:lineChart>
      <c:catAx>
        <c:axId val="365624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26968"/>
        <c:crosses val="autoZero"/>
        <c:auto val="1"/>
        <c:lblAlgn val="ctr"/>
        <c:lblOffset val="100"/>
        <c:noMultiLvlLbl val="1"/>
      </c:catAx>
      <c:valAx>
        <c:axId val="3656269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246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5628144"/>
        <c:axId val="365630104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628144"/>
        <c:axId val="365630104"/>
      </c:lineChart>
      <c:catAx>
        <c:axId val="365628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30104"/>
        <c:crosses val="autoZero"/>
        <c:auto val="1"/>
        <c:lblAlgn val="ctr"/>
        <c:lblOffset val="100"/>
        <c:noMultiLvlLbl val="1"/>
      </c:catAx>
      <c:valAx>
        <c:axId val="3656301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281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5625792"/>
        <c:axId val="365622264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625792"/>
        <c:axId val="365622264"/>
      </c:lineChart>
      <c:catAx>
        <c:axId val="365625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22264"/>
        <c:crosses val="autoZero"/>
        <c:auto val="1"/>
        <c:lblAlgn val="ctr"/>
        <c:lblOffset val="100"/>
        <c:noMultiLvlLbl val="1"/>
      </c:catAx>
      <c:valAx>
        <c:axId val="3656222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257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7'!$C$22:$P$22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5628536"/>
        <c:axId val="365625400"/>
      </c:barChart>
      <c:lineChart>
        <c:grouping val="standard"/>
        <c:varyColors val="0"/>
        <c:ser>
          <c:idx val="1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628536"/>
        <c:axId val="365625400"/>
      </c:lineChart>
      <c:catAx>
        <c:axId val="365628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25400"/>
        <c:crosses val="autoZero"/>
        <c:auto val="0"/>
        <c:lblAlgn val="ctr"/>
        <c:lblOffset val="100"/>
        <c:noMultiLvlLbl val="1"/>
      </c:catAx>
      <c:valAx>
        <c:axId val="365625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28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5628928"/>
        <c:axId val="365629712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628928"/>
        <c:axId val="365629712"/>
      </c:lineChart>
      <c:catAx>
        <c:axId val="365628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29712"/>
        <c:crosses val="autoZero"/>
        <c:auto val="1"/>
        <c:lblAlgn val="ctr"/>
        <c:lblOffset val="100"/>
        <c:noMultiLvlLbl val="1"/>
      </c:catAx>
      <c:valAx>
        <c:axId val="3656297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289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5630496"/>
        <c:axId val="365631280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630496"/>
        <c:axId val="365631280"/>
      </c:lineChart>
      <c:catAx>
        <c:axId val="365630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31280"/>
        <c:crosses val="autoZero"/>
        <c:auto val="1"/>
        <c:lblAlgn val="ctr"/>
        <c:lblOffset val="100"/>
        <c:noMultiLvlLbl val="1"/>
      </c:catAx>
      <c:valAx>
        <c:axId val="3656312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304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5619520"/>
        <c:axId val="365620304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619520"/>
        <c:axId val="365620304"/>
      </c:lineChart>
      <c:catAx>
        <c:axId val="365619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20304"/>
        <c:crosses val="autoZero"/>
        <c:auto val="1"/>
        <c:lblAlgn val="ctr"/>
        <c:lblOffset val="100"/>
        <c:noMultiLvlLbl val="1"/>
      </c:catAx>
      <c:valAx>
        <c:axId val="3656203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195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5621088"/>
        <c:axId val="365622656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621088"/>
        <c:axId val="365622656"/>
      </c:lineChart>
      <c:catAx>
        <c:axId val="365621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22656"/>
        <c:crosses val="autoZero"/>
        <c:auto val="1"/>
        <c:lblAlgn val="ctr"/>
        <c:lblOffset val="100"/>
        <c:noMultiLvlLbl val="1"/>
      </c:catAx>
      <c:valAx>
        <c:axId val="3656226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210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8'!$C$22:$P$22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5623440"/>
        <c:axId val="365624224"/>
      </c:barChart>
      <c:lineChart>
        <c:grouping val="standard"/>
        <c:varyColors val="0"/>
        <c:ser>
          <c:idx val="1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623440"/>
        <c:axId val="365624224"/>
      </c:lineChart>
      <c:catAx>
        <c:axId val="365623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24224"/>
        <c:crosses val="autoZero"/>
        <c:auto val="0"/>
        <c:lblAlgn val="ctr"/>
        <c:lblOffset val="100"/>
        <c:noMultiLvlLbl val="1"/>
      </c:catAx>
      <c:valAx>
        <c:axId val="36562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23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5634416"/>
        <c:axId val="365632456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634416"/>
        <c:axId val="365632456"/>
      </c:lineChart>
      <c:catAx>
        <c:axId val="365634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32456"/>
        <c:crosses val="autoZero"/>
        <c:auto val="1"/>
        <c:lblAlgn val="ctr"/>
        <c:lblOffset val="100"/>
        <c:noMultiLvlLbl val="1"/>
      </c:catAx>
      <c:valAx>
        <c:axId val="3656324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344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5632848"/>
        <c:axId val="365633240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632848"/>
        <c:axId val="365633240"/>
      </c:lineChart>
      <c:catAx>
        <c:axId val="365632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33240"/>
        <c:crosses val="autoZero"/>
        <c:auto val="1"/>
        <c:lblAlgn val="ctr"/>
        <c:lblOffset val="100"/>
        <c:noMultiLvlLbl val="1"/>
      </c:catAx>
      <c:valAx>
        <c:axId val="3656332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328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5633632"/>
        <c:axId val="365634024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633632"/>
        <c:axId val="365634024"/>
      </c:lineChart>
      <c:catAx>
        <c:axId val="365633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34024"/>
        <c:crosses val="autoZero"/>
        <c:auto val="1"/>
        <c:lblAlgn val="ctr"/>
        <c:lblOffset val="100"/>
        <c:noMultiLvlLbl val="1"/>
      </c:catAx>
      <c:valAx>
        <c:axId val="3656340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336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6664784"/>
        <c:axId val="366661256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664784"/>
        <c:axId val="366661256"/>
      </c:lineChart>
      <c:catAx>
        <c:axId val="366664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61256"/>
        <c:crosses val="autoZero"/>
        <c:auto val="1"/>
        <c:lblAlgn val="ctr"/>
        <c:lblOffset val="100"/>
        <c:noMultiLvlLbl val="1"/>
      </c:catAx>
      <c:valAx>
        <c:axId val="3666612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647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9'!$C$22:$P$22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6659296"/>
        <c:axId val="366665960"/>
      </c:barChart>
      <c:lineChart>
        <c:grouping val="standard"/>
        <c:varyColors val="0"/>
        <c:ser>
          <c:idx val="1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659296"/>
        <c:axId val="366665960"/>
      </c:lineChart>
      <c:catAx>
        <c:axId val="366659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65960"/>
        <c:crosses val="autoZero"/>
        <c:auto val="0"/>
        <c:lblAlgn val="ctr"/>
        <c:lblOffset val="100"/>
        <c:noMultiLvlLbl val="1"/>
      </c:catAx>
      <c:valAx>
        <c:axId val="366665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5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6659688"/>
        <c:axId val="366662040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659688"/>
        <c:axId val="366662040"/>
      </c:lineChart>
      <c:catAx>
        <c:axId val="366659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62040"/>
        <c:crosses val="autoZero"/>
        <c:auto val="1"/>
        <c:lblAlgn val="ctr"/>
        <c:lblOffset val="100"/>
        <c:noMultiLvlLbl val="1"/>
      </c:catAx>
      <c:valAx>
        <c:axId val="3666620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596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6655376"/>
        <c:axId val="366656552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655376"/>
        <c:axId val="366656552"/>
      </c:lineChart>
      <c:catAx>
        <c:axId val="366655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56552"/>
        <c:crosses val="autoZero"/>
        <c:auto val="1"/>
        <c:lblAlgn val="ctr"/>
        <c:lblOffset val="100"/>
        <c:noMultiLvlLbl val="1"/>
      </c:catAx>
      <c:valAx>
        <c:axId val="3666565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553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6665176"/>
        <c:axId val="366665568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665176"/>
        <c:axId val="366665568"/>
      </c:lineChart>
      <c:catAx>
        <c:axId val="366665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65568"/>
        <c:crosses val="autoZero"/>
        <c:auto val="1"/>
        <c:lblAlgn val="ctr"/>
        <c:lblOffset val="100"/>
        <c:noMultiLvlLbl val="1"/>
      </c:catAx>
      <c:valAx>
        <c:axId val="3666655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651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6653808"/>
        <c:axId val="366654200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653808"/>
        <c:axId val="366654200"/>
      </c:lineChart>
      <c:catAx>
        <c:axId val="366653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54200"/>
        <c:crosses val="autoZero"/>
        <c:auto val="1"/>
        <c:lblAlgn val="ctr"/>
        <c:lblOffset val="100"/>
        <c:noMultiLvlLbl val="1"/>
      </c:catAx>
      <c:valAx>
        <c:axId val="3666542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538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10'!$C$22:$P$22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6660472"/>
        <c:axId val="366658120"/>
      </c:barChart>
      <c:lineChart>
        <c:grouping val="standard"/>
        <c:varyColors val="0"/>
        <c:ser>
          <c:idx val="1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660472"/>
        <c:axId val="366658120"/>
      </c:lineChart>
      <c:catAx>
        <c:axId val="366660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58120"/>
        <c:crosses val="autoZero"/>
        <c:auto val="0"/>
        <c:lblAlgn val="ctr"/>
        <c:lblOffset val="100"/>
        <c:noMultiLvlLbl val="1"/>
      </c:catAx>
      <c:valAx>
        <c:axId val="366658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60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6662824"/>
        <c:axId val="366663216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662824"/>
        <c:axId val="366663216"/>
      </c:lineChart>
      <c:catAx>
        <c:axId val="366662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63216"/>
        <c:crosses val="autoZero"/>
        <c:auto val="1"/>
        <c:lblAlgn val="ctr"/>
        <c:lblOffset val="100"/>
        <c:noMultiLvlLbl val="1"/>
      </c:catAx>
      <c:valAx>
        <c:axId val="3666632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628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6658904"/>
        <c:axId val="366660080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658904"/>
        <c:axId val="366660080"/>
      </c:lineChart>
      <c:catAx>
        <c:axId val="366658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60080"/>
        <c:crosses val="autoZero"/>
        <c:auto val="1"/>
        <c:lblAlgn val="ctr"/>
        <c:lblOffset val="100"/>
        <c:noMultiLvlLbl val="1"/>
      </c:catAx>
      <c:valAx>
        <c:axId val="3666600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589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6660864"/>
        <c:axId val="366663608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660864"/>
        <c:axId val="366663608"/>
      </c:lineChart>
      <c:catAx>
        <c:axId val="366660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63608"/>
        <c:crosses val="autoZero"/>
        <c:auto val="1"/>
        <c:lblAlgn val="ctr"/>
        <c:lblOffset val="100"/>
        <c:noMultiLvlLbl val="1"/>
      </c:catAx>
      <c:valAx>
        <c:axId val="3666636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608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6664000"/>
        <c:axId val="366672232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664000"/>
        <c:axId val="366672232"/>
      </c:lineChart>
      <c:catAx>
        <c:axId val="366664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72232"/>
        <c:crosses val="autoZero"/>
        <c:auto val="1"/>
        <c:lblAlgn val="ctr"/>
        <c:lblOffset val="100"/>
        <c:noMultiLvlLbl val="1"/>
      </c:catAx>
      <c:valAx>
        <c:axId val="3666722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640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5" Type="http://schemas.openxmlformats.org/officeDocument/2006/relationships/chart" Target="../charts/chart50.xml"/><Relationship Id="rId4" Type="http://schemas.openxmlformats.org/officeDocument/2006/relationships/chart" Target="../charts/chart49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5" Type="http://schemas.openxmlformats.org/officeDocument/2006/relationships/chart" Target="../charts/chart55.xml"/><Relationship Id="rId4" Type="http://schemas.openxmlformats.org/officeDocument/2006/relationships/chart" Target="../charts/chart54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Relationship Id="rId5" Type="http://schemas.openxmlformats.org/officeDocument/2006/relationships/chart" Target="../charts/chart60.xml"/><Relationship Id="rId4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30</xdr:row>
      <xdr:rowOff>4762</xdr:rowOff>
    </xdr:from>
    <xdr:to>
      <xdr:col>12</xdr:col>
      <xdr:colOff>581025</xdr:colOff>
      <xdr:row>45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1019175</xdr:colOff>
      <xdr:row>46</xdr:row>
      <xdr:rowOff>14287</xdr:rowOff>
    </xdr:from>
    <xdr:to>
      <xdr:col>12</xdr:col>
      <xdr:colOff>581025</xdr:colOff>
      <xdr:row>60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581025</xdr:colOff>
      <xdr:row>46</xdr:row>
      <xdr:rowOff>9525</xdr:rowOff>
    </xdr:from>
    <xdr:to>
      <xdr:col>24</xdr:col>
      <xdr:colOff>581025</xdr:colOff>
      <xdr:row>60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1019175</xdr:colOff>
      <xdr:row>62</xdr:row>
      <xdr:rowOff>14287</xdr:rowOff>
    </xdr:from>
    <xdr:to>
      <xdr:col>12</xdr:col>
      <xdr:colOff>581025</xdr:colOff>
      <xdr:row>76</xdr:row>
      <xdr:rowOff>142875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581025</xdr:colOff>
      <xdr:row>62</xdr:row>
      <xdr:rowOff>9525</xdr:rowOff>
    </xdr:from>
    <xdr:to>
      <xdr:col>24</xdr:col>
      <xdr:colOff>581025</xdr:colOff>
      <xdr:row>76</xdr:row>
      <xdr:rowOff>138113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7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658D2444-A801-43BD-BAEC-00573A0BE4E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Nathan, NR</a:t>
          </a:fld>
          <a:endParaRPr lang="en-US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8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F848CFF9-E348-44E6-8556-5A2776CC192F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Spencer, SS</a:t>
          </a:fld>
          <a:endParaRPr lang="en-US" sz="18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9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5DD271A8-E59C-4A58-97DA-C8B60AFC5B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Dylan, DW</a:t>
          </a:fld>
          <a:endParaRPr lang="en-US" sz="18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10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3E8741F2-E07D-434E-BFC2-5BA4F1AB6703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#REF!</a:t>
          </a:fld>
          <a:endParaRPr lang="en-US" sz="24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35</xdr:row>
      <xdr:rowOff>14286</xdr:rowOff>
    </xdr:from>
    <xdr:to>
      <xdr:col>15</xdr:col>
      <xdr:colOff>485774</xdr:colOff>
      <xdr:row>50</xdr:row>
      <xdr:rowOff>38099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476250</xdr:colOff>
      <xdr:row>51</xdr:row>
      <xdr:rowOff>42862</xdr:rowOff>
    </xdr:from>
    <xdr:to>
      <xdr:col>8</xdr:col>
      <xdr:colOff>342900</xdr:colOff>
      <xdr:row>65</xdr:row>
      <xdr:rowOff>119062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466725</xdr:colOff>
      <xdr:row>51</xdr:row>
      <xdr:rowOff>19050</xdr:rowOff>
    </xdr:from>
    <xdr:to>
      <xdr:col>17</xdr:col>
      <xdr:colOff>161925</xdr:colOff>
      <xdr:row>65</xdr:row>
      <xdr:rowOff>95250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466725</xdr:colOff>
      <xdr:row>67</xdr:row>
      <xdr:rowOff>42862</xdr:rowOff>
    </xdr:from>
    <xdr:to>
      <xdr:col>8</xdr:col>
      <xdr:colOff>333375</xdr:colOff>
      <xdr:row>81</xdr:row>
      <xdr:rowOff>119062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457200</xdr:colOff>
      <xdr:row>67</xdr:row>
      <xdr:rowOff>19050</xdr:rowOff>
    </xdr:from>
    <xdr:to>
      <xdr:col>17</xdr:col>
      <xdr:colOff>152400</xdr:colOff>
      <xdr:row>81</xdr:row>
      <xdr:rowOff>95250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0'!$T$48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71A887B-B650-4A8A-A91B-D59C4C7AF80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2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2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3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3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4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4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5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5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6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6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7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7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8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8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9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9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0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0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B4" workbookViewId="0">
      <selection activeCell="S32" sqref="S32"/>
    </sheetView>
  </sheetViews>
  <sheetFormatPr defaultColWidth="8.85546875" defaultRowHeight="15" x14ac:dyDescent="0.25"/>
  <cols>
    <col min="1" max="1" width="9.140625" customWidth="1"/>
    <col min="2" max="2" width="15.7109375" customWidth="1"/>
    <col min="3" max="3" width="9.140625" customWidth="1"/>
  </cols>
  <sheetData>
    <row r="1" spans="1:25" ht="18.75" x14ac:dyDescent="0.3">
      <c r="C1" s="76" t="s">
        <v>24</v>
      </c>
      <c r="D1" s="77"/>
      <c r="E1" s="77"/>
      <c r="F1" s="77"/>
      <c r="G1" s="77"/>
      <c r="H1" s="77"/>
      <c r="I1" s="77"/>
      <c r="J1" s="77"/>
      <c r="K1" s="77"/>
      <c r="L1" s="77"/>
      <c r="M1" s="77"/>
    </row>
    <row r="2" spans="1:25" s="10" customFormat="1" x14ac:dyDescent="0.25">
      <c r="C2" s="28" t="s">
        <v>37</v>
      </c>
      <c r="E2" s="11"/>
      <c r="F2" s="11"/>
      <c r="G2" s="11"/>
      <c r="H2" s="11"/>
      <c r="I2" s="11"/>
      <c r="J2" s="11"/>
      <c r="K2" s="11"/>
      <c r="L2" s="11"/>
      <c r="M2" s="11"/>
    </row>
    <row r="3" spans="1:25" ht="18.75" x14ac:dyDescent="0.3">
      <c r="B3" s="31" t="s">
        <v>36</v>
      </c>
      <c r="C3" s="73" t="s">
        <v>22</v>
      </c>
      <c r="D3" s="74"/>
      <c r="E3" s="74"/>
      <c r="F3" s="74"/>
      <c r="G3" s="74"/>
      <c r="H3" s="74"/>
      <c r="I3" s="74"/>
      <c r="J3" s="74"/>
      <c r="K3" s="74"/>
      <c r="L3" s="74"/>
      <c r="M3" s="74"/>
      <c r="N3" s="74" t="s">
        <v>23</v>
      </c>
      <c r="O3" s="74"/>
      <c r="P3" s="74"/>
      <c r="Q3" s="74"/>
      <c r="R3" s="74"/>
      <c r="S3" s="74"/>
      <c r="T3" s="74"/>
      <c r="U3" s="74"/>
      <c r="V3" s="74"/>
      <c r="W3" s="74"/>
      <c r="X3" s="74"/>
      <c r="Y3" s="75"/>
    </row>
    <row r="4" spans="1:25" ht="15.75" x14ac:dyDescent="0.25">
      <c r="C4" s="72" t="s">
        <v>12</v>
      </c>
      <c r="D4" s="72"/>
      <c r="E4" s="72"/>
      <c r="F4" s="72" t="s">
        <v>11</v>
      </c>
      <c r="G4" s="72"/>
      <c r="H4" s="72" t="s">
        <v>13</v>
      </c>
      <c r="I4" s="72"/>
      <c r="J4" s="72" t="s">
        <v>14</v>
      </c>
      <c r="K4" s="72"/>
      <c r="L4" s="78" t="s">
        <v>15</v>
      </c>
      <c r="M4" s="79"/>
      <c r="N4" s="79" t="s">
        <v>16</v>
      </c>
      <c r="O4" s="80"/>
      <c r="P4" s="72" t="s">
        <v>17</v>
      </c>
      <c r="Q4" s="72"/>
      <c r="R4" s="72" t="s">
        <v>18</v>
      </c>
      <c r="S4" s="72"/>
      <c r="T4" s="72" t="s">
        <v>19</v>
      </c>
      <c r="U4" s="72"/>
      <c r="V4" s="72" t="s">
        <v>20</v>
      </c>
      <c r="W4" s="72"/>
      <c r="X4" s="72" t="s">
        <v>21</v>
      </c>
      <c r="Y4" s="72"/>
    </row>
    <row r="5" spans="1:25" s="6" customFormat="1" ht="12.75" x14ac:dyDescent="0.2">
      <c r="B5" s="5" t="s">
        <v>9</v>
      </c>
      <c r="C5" s="12">
        <f xml:space="preserve"> Setup!$B$3</f>
        <v>42254</v>
      </c>
      <c r="D5" s="12">
        <f xml:space="preserve"> C$5 + 7</f>
        <v>42261</v>
      </c>
      <c r="E5" s="12">
        <f t="shared" ref="E5:M5" si="0" xml:space="preserve"> D$5 + 7</f>
        <v>42268</v>
      </c>
      <c r="F5" s="12">
        <f t="shared" si="0"/>
        <v>42275</v>
      </c>
      <c r="G5" s="12">
        <f t="shared" si="0"/>
        <v>42282</v>
      </c>
      <c r="H5" s="12">
        <f t="shared" si="0"/>
        <v>42289</v>
      </c>
      <c r="I5" s="12">
        <f t="shared" si="0"/>
        <v>42296</v>
      </c>
      <c r="J5" s="12">
        <f t="shared" si="0"/>
        <v>42303</v>
      </c>
      <c r="K5" s="12">
        <f t="shared" si="0"/>
        <v>42310</v>
      </c>
      <c r="L5" s="12">
        <f t="shared" si="0"/>
        <v>42317</v>
      </c>
      <c r="M5" s="41">
        <f t="shared" si="0"/>
        <v>42324</v>
      </c>
      <c r="N5" s="42">
        <f xml:space="preserve"> Setup!$B$4</f>
        <v>42380</v>
      </c>
      <c r="O5" s="12">
        <f xml:space="preserve"> N$5 + 7</f>
        <v>42387</v>
      </c>
      <c r="P5" s="12">
        <f t="shared" ref="P5:Y5" si="1" xml:space="preserve"> O$5 + 7</f>
        <v>42394</v>
      </c>
      <c r="Q5" s="12">
        <f t="shared" si="1"/>
        <v>42401</v>
      </c>
      <c r="R5" s="12">
        <f t="shared" si="1"/>
        <v>42408</v>
      </c>
      <c r="S5" s="12">
        <f t="shared" si="1"/>
        <v>42415</v>
      </c>
      <c r="T5" s="12">
        <f t="shared" si="1"/>
        <v>42422</v>
      </c>
      <c r="U5" s="12">
        <f t="shared" si="1"/>
        <v>42429</v>
      </c>
      <c r="V5" s="12">
        <f t="shared" si="1"/>
        <v>42436</v>
      </c>
      <c r="W5" s="12">
        <f t="shared" si="1"/>
        <v>42443</v>
      </c>
      <c r="X5" s="12">
        <f t="shared" si="1"/>
        <v>42450</v>
      </c>
      <c r="Y5" s="12">
        <f t="shared" si="1"/>
        <v>42457</v>
      </c>
    </row>
    <row r="6" spans="1:25" s="6" customFormat="1" ht="12.75" x14ac:dyDescent="0.2">
      <c r="B6" s="5" t="s">
        <v>10</v>
      </c>
      <c r="C6" s="7">
        <v>1</v>
      </c>
      <c r="D6" s="7">
        <v>2</v>
      </c>
      <c r="E6" s="7">
        <v>3</v>
      </c>
      <c r="F6" s="7">
        <v>4</v>
      </c>
      <c r="G6" s="7">
        <v>5</v>
      </c>
      <c r="H6" s="7">
        <v>6</v>
      </c>
      <c r="I6" s="7">
        <v>7</v>
      </c>
      <c r="J6" s="7">
        <v>8</v>
      </c>
      <c r="K6" s="7">
        <v>9</v>
      </c>
      <c r="L6" s="7">
        <v>10</v>
      </c>
      <c r="M6" s="43">
        <v>11</v>
      </c>
      <c r="N6" s="44">
        <v>12</v>
      </c>
      <c r="O6" s="7">
        <v>13</v>
      </c>
      <c r="P6" s="7">
        <v>14</v>
      </c>
      <c r="Q6" s="7">
        <v>15</v>
      </c>
      <c r="R6" s="7">
        <v>16</v>
      </c>
      <c r="S6" s="7">
        <v>17</v>
      </c>
      <c r="T6" s="7">
        <v>18</v>
      </c>
      <c r="U6" s="7">
        <v>19</v>
      </c>
      <c r="V6" s="7">
        <v>20</v>
      </c>
      <c r="W6" s="7">
        <v>21</v>
      </c>
      <c r="X6" s="7">
        <v>22</v>
      </c>
      <c r="Y6" s="7">
        <v>23</v>
      </c>
    </row>
    <row r="7" spans="1:25" x14ac:dyDescent="0.25">
      <c r="A7" s="70" t="s">
        <v>44</v>
      </c>
      <c r="B7" s="8" t="str">
        <f xml:space="preserve"> CONCATENATE(Setup!$B$7, ", ", LEFT(Setup!$C$7,2))</f>
        <v>Nathan, NR</v>
      </c>
      <c r="C7" s="25">
        <f>SUM('Sprint 0'!C6:I6)</f>
        <v>2</v>
      </c>
      <c r="D7" s="25">
        <f>SUM('Sprint 0'!J6:P6)</f>
        <v>1</v>
      </c>
      <c r="E7" s="25">
        <f>SUM('Sprint 0'!Q6:W6)</f>
        <v>1</v>
      </c>
      <c r="F7" s="25">
        <f>SUM('Sprint 1'!C6:I6)</f>
        <v>1</v>
      </c>
      <c r="G7" s="25">
        <f>SUM('Sprint 1'!J6:P6)</f>
        <v>5</v>
      </c>
      <c r="H7" s="25">
        <f>SUM('Sprint 2'!C6:I6)</f>
        <v>5</v>
      </c>
      <c r="I7" s="25">
        <f>SUM('Sprint 2'!J6:P6)</f>
        <v>10.5</v>
      </c>
      <c r="J7" s="25">
        <f>SUM('Sprint 3'!C6:I6)</f>
        <v>11</v>
      </c>
      <c r="K7" s="25">
        <f>SUM('Sprint 3'!J6:P6)</f>
        <v>9</v>
      </c>
      <c r="L7" s="25">
        <f>SUM('Sprint 4'!C6:I6)</f>
        <v>0</v>
      </c>
      <c r="M7" s="25">
        <f>SUM('Sprint 4'!J6:P6)</f>
        <v>0</v>
      </c>
      <c r="N7" s="46">
        <f>SUM('Sprint 5'!C6:I6)</f>
        <v>0</v>
      </c>
      <c r="O7" s="22">
        <f>SUM('Sprint 5'!J6:P6)</f>
        <v>0</v>
      </c>
      <c r="P7" s="22">
        <f>SUM('Sprint 6'!C6:I6)</f>
        <v>0</v>
      </c>
      <c r="Q7" s="22">
        <f>SUM('Sprint 6'!J6:P6)</f>
        <v>0</v>
      </c>
      <c r="R7" s="22">
        <f>SUM('Sprint 7'!C6:I6)</f>
        <v>0</v>
      </c>
      <c r="S7" s="22">
        <f>SUM('Sprint 7'!J6:P6)</f>
        <v>0</v>
      </c>
      <c r="T7" s="22">
        <f>SUM('Sprint 8'!C6:I6)</f>
        <v>0</v>
      </c>
      <c r="U7" s="22">
        <f>SUM('Sprint 8'!J6:P6)</f>
        <v>0</v>
      </c>
      <c r="V7" s="22">
        <f>SUM('Sprint 9'!C6:I6)</f>
        <v>0</v>
      </c>
      <c r="W7" s="22">
        <f>SUM('Sprint 9'!J6:P6)</f>
        <v>0</v>
      </c>
      <c r="X7" s="22">
        <f>SUM('Sprint 10'!C6:I6)</f>
        <v>0</v>
      </c>
      <c r="Y7" s="22">
        <f>SUM('Sprint 10'!J6:P6)</f>
        <v>0</v>
      </c>
    </row>
    <row r="8" spans="1:25" x14ac:dyDescent="0.25">
      <c r="A8" s="70"/>
      <c r="B8" s="8" t="str">
        <f xml:space="preserve"> CONCATENATE(Setup!$B$8, ", ", LEFT(Setup!$C$8,2))</f>
        <v>Spencer, SS</v>
      </c>
      <c r="C8" s="25">
        <f>SUM('Sprint 0'!C7:I7)</f>
        <v>0</v>
      </c>
      <c r="D8" s="25">
        <f>SUM('Sprint 0'!J7:P7)</f>
        <v>0.5</v>
      </c>
      <c r="E8" s="25">
        <f>SUM('Sprint 0'!Q7:W7)</f>
        <v>0.5</v>
      </c>
      <c r="F8" s="25">
        <f>SUM('Sprint 1'!C7:I7)</f>
        <v>0.5</v>
      </c>
      <c r="G8" s="25">
        <f>SUM('Sprint 1'!J7:P7)</f>
        <v>1.5</v>
      </c>
      <c r="H8" s="25">
        <f>SUM('Sprint 2'!C7:I7)</f>
        <v>2</v>
      </c>
      <c r="I8" s="25">
        <f>SUM('Sprint 2'!J7:P7)</f>
        <v>12.003</v>
      </c>
      <c r="J8" s="25">
        <f>SUM('Sprint 3'!C7:I7)</f>
        <v>11</v>
      </c>
      <c r="K8" s="25">
        <f>SUM('Sprint 3'!J7:P7)</f>
        <v>8</v>
      </c>
      <c r="L8" s="25">
        <f>SUM('Sprint 4'!C7:I7)</f>
        <v>0</v>
      </c>
      <c r="M8" s="25">
        <f>SUM('Sprint 4'!J7:P7)</f>
        <v>0</v>
      </c>
      <c r="N8" s="46">
        <f>SUM('Sprint 5'!C7:I7)</f>
        <v>0</v>
      </c>
      <c r="O8" s="22">
        <f>SUM('Sprint 5'!J7:P7)</f>
        <v>0</v>
      </c>
      <c r="P8" s="22">
        <f>SUM('Sprint 6'!C7:I7)</f>
        <v>0</v>
      </c>
      <c r="Q8" s="22">
        <f>SUM('Sprint 6'!J7:P7)</f>
        <v>0</v>
      </c>
      <c r="R8" s="22">
        <f>SUM('Sprint 7'!C7:I7)</f>
        <v>0</v>
      </c>
      <c r="S8" s="22">
        <f>SUM('Sprint 7'!J7:P7)</f>
        <v>0</v>
      </c>
      <c r="T8" s="22">
        <f>SUM('Sprint 8'!C7:I7)</f>
        <v>0</v>
      </c>
      <c r="U8" s="22">
        <f>SUM('Sprint 8'!J7:P7)</f>
        <v>0</v>
      </c>
      <c r="V8" s="22">
        <f>SUM('Sprint 9'!C7:I7)</f>
        <v>0</v>
      </c>
      <c r="W8" s="22">
        <f>SUM('Sprint 9'!J7:P7)</f>
        <v>0</v>
      </c>
      <c r="X8" s="22">
        <f>SUM('Sprint 10'!C7:I7)</f>
        <v>0</v>
      </c>
      <c r="Y8" s="22">
        <f>SUM('Sprint 10'!J7:P7)</f>
        <v>0</v>
      </c>
    </row>
    <row r="9" spans="1:25" x14ac:dyDescent="0.25">
      <c r="A9" s="70"/>
      <c r="B9" s="8" t="str">
        <f xml:space="preserve"> CONCATENATE(Setup!$B$9, ", ", LEFT(Setup!$C$9,2))</f>
        <v>Dylan, DW</v>
      </c>
      <c r="C9" s="25">
        <f>SUM('Sprint 0'!C8:I8)</f>
        <v>1</v>
      </c>
      <c r="D9" s="25">
        <f>SUM('Sprint 0'!J8:P8)</f>
        <v>1.75</v>
      </c>
      <c r="E9" s="25">
        <f>SUM('Sprint 0'!Q8:W8)</f>
        <v>5</v>
      </c>
      <c r="F9" s="25">
        <f>SUM('Sprint 1'!C8:I8)</f>
        <v>3</v>
      </c>
      <c r="G9" s="25">
        <f>SUM('Sprint 1'!J8:P8)</f>
        <v>1</v>
      </c>
      <c r="H9" s="25">
        <f>SUM('Sprint 2'!C8:I8)</f>
        <v>5.0670000000000002</v>
      </c>
      <c r="I9" s="25">
        <f>SUM('Sprint 2'!J8:P8)</f>
        <v>5.5</v>
      </c>
      <c r="J9" s="25">
        <f>SUM('Sprint 3'!C8:I8)</f>
        <v>6</v>
      </c>
      <c r="K9" s="25">
        <f>SUM('Sprint 3'!J8:P8)</f>
        <v>5</v>
      </c>
      <c r="L9" s="25">
        <f>SUM('Sprint 4'!C8:I8)</f>
        <v>0</v>
      </c>
      <c r="M9" s="25">
        <f>SUM('Sprint 4'!J8:P8)</f>
        <v>0</v>
      </c>
      <c r="N9" s="46">
        <f>SUM('Sprint 5'!C8:I8)</f>
        <v>0</v>
      </c>
      <c r="O9" s="22">
        <f>SUM('Sprint 5'!J8:P8)</f>
        <v>0</v>
      </c>
      <c r="P9" s="22">
        <f>SUM('Sprint 6'!C8:I8)</f>
        <v>0</v>
      </c>
      <c r="Q9" s="22">
        <f>SUM('Sprint 6'!J8:P8)</f>
        <v>0</v>
      </c>
      <c r="R9" s="22">
        <f>SUM('Sprint 7'!C8:I8)</f>
        <v>0</v>
      </c>
      <c r="S9" s="22">
        <f>SUM('Sprint 7'!J8:P8)</f>
        <v>0</v>
      </c>
      <c r="T9" s="22">
        <f>SUM('Sprint 8'!C8:I8)</f>
        <v>0</v>
      </c>
      <c r="U9" s="22">
        <f>SUM('Sprint 8'!J8:P8)</f>
        <v>0</v>
      </c>
      <c r="V9" s="22">
        <f>SUM('Sprint 9'!C8:I8)</f>
        <v>0</v>
      </c>
      <c r="W9" s="22">
        <f>SUM('Sprint 9'!J8:P8)</f>
        <v>0</v>
      </c>
      <c r="X9" s="22">
        <f>SUM('Sprint 10'!C8:I8)</f>
        <v>0</v>
      </c>
      <c r="Y9" s="22">
        <f>SUM('Sprint 10'!J8:P8)</f>
        <v>0</v>
      </c>
    </row>
    <row r="10" spans="1:25" x14ac:dyDescent="0.25">
      <c r="A10" s="70"/>
      <c r="B10" s="8" t="e">
        <f xml:space="preserve"> CONCATENATE(Setup!#REF!, ", ", LEFT(Setup!#REF!,2))</f>
        <v>#REF!</v>
      </c>
      <c r="C10" s="25">
        <f>SUM('Sprint 0'!C9:I9)</f>
        <v>0</v>
      </c>
      <c r="D10" s="25">
        <f>SUM('Sprint 0'!J9:P9)</f>
        <v>0</v>
      </c>
      <c r="E10" s="25">
        <f>SUM('Sprint 0'!Q9:W9)</f>
        <v>0</v>
      </c>
      <c r="F10" s="25">
        <f>SUM('Sprint 1'!C9:I9)</f>
        <v>0</v>
      </c>
      <c r="G10" s="25">
        <f>SUM('Sprint 1'!J9:P9)</f>
        <v>0</v>
      </c>
      <c r="H10" s="25">
        <f>SUM('Sprint 2'!C9:I9)</f>
        <v>0</v>
      </c>
      <c r="I10" s="25">
        <f>SUM('Sprint 2'!J9:P9)</f>
        <v>0</v>
      </c>
      <c r="J10" s="25">
        <f>SUM('Sprint 3'!C9:I9)</f>
        <v>0</v>
      </c>
      <c r="K10" s="25">
        <f>SUM('Sprint 3'!J9:P9)</f>
        <v>0</v>
      </c>
      <c r="L10" s="25">
        <f>SUM('Sprint 4'!C9:I9)</f>
        <v>0</v>
      </c>
      <c r="M10" s="25">
        <f>SUM('Sprint 4'!J9:P9)</f>
        <v>0</v>
      </c>
      <c r="N10" s="46">
        <f>SUM('Sprint 5'!C9:I9)</f>
        <v>0</v>
      </c>
      <c r="O10" s="22">
        <f>SUM('Sprint 5'!J9:P9)</f>
        <v>0</v>
      </c>
      <c r="P10" s="22">
        <f>SUM('Sprint 6'!C9:I9)</f>
        <v>0</v>
      </c>
      <c r="Q10" s="22">
        <f>SUM('Sprint 6'!J9:P9)</f>
        <v>0</v>
      </c>
      <c r="R10" s="22">
        <f>SUM('Sprint 7'!C9:I9)</f>
        <v>0</v>
      </c>
      <c r="S10" s="22">
        <f>SUM('Sprint 7'!J9:P9)</f>
        <v>0</v>
      </c>
      <c r="T10" s="22">
        <f>SUM('Sprint 8'!C9:I9)</f>
        <v>0</v>
      </c>
      <c r="U10" s="22">
        <f>SUM('Sprint 8'!J9:P9)</f>
        <v>0</v>
      </c>
      <c r="V10" s="22">
        <f>SUM('Sprint 9'!C9:I9)</f>
        <v>0</v>
      </c>
      <c r="W10" s="22">
        <f>SUM('Sprint 9'!J9:P9)</f>
        <v>0</v>
      </c>
      <c r="X10" s="22">
        <f>SUM('Sprint 10'!C9:I9)</f>
        <v>0</v>
      </c>
      <c r="Y10" s="22">
        <f>SUM('Sprint 10'!J9:P9)</f>
        <v>0</v>
      </c>
    </row>
    <row r="11" spans="1:25" ht="15.75" x14ac:dyDescent="0.25">
      <c r="A11" s="70"/>
      <c r="B11" s="9" t="s">
        <v>30</v>
      </c>
      <c r="C11" s="21">
        <f xml:space="preserve"> SUM(C7:C10)</f>
        <v>3</v>
      </c>
      <c r="D11" s="21">
        <f t="shared" ref="D11:M11" si="2" xml:space="preserve"> SUM(D7:D10)</f>
        <v>3.25</v>
      </c>
      <c r="E11" s="21">
        <f t="shared" si="2"/>
        <v>6.5</v>
      </c>
      <c r="F11" s="21">
        <f t="shared" si="2"/>
        <v>4.5</v>
      </c>
      <c r="G11" s="21">
        <f t="shared" si="2"/>
        <v>7.5</v>
      </c>
      <c r="H11" s="21">
        <f t="shared" si="2"/>
        <v>12.067</v>
      </c>
      <c r="I11" s="21">
        <f t="shared" si="2"/>
        <v>28.003</v>
      </c>
      <c r="J11" s="21">
        <f t="shared" si="2"/>
        <v>28</v>
      </c>
      <c r="K11" s="21">
        <f t="shared" si="2"/>
        <v>22</v>
      </c>
      <c r="L11" s="21">
        <f t="shared" si="2"/>
        <v>0</v>
      </c>
      <c r="M11" s="21">
        <f t="shared" si="2"/>
        <v>0</v>
      </c>
      <c r="N11" s="48">
        <f>SUM(N7:N10)</f>
        <v>0</v>
      </c>
      <c r="O11" s="66">
        <f t="shared" ref="O11:Y11" si="3">SUM(O7:O10)</f>
        <v>0</v>
      </c>
      <c r="P11" s="66">
        <f t="shared" si="3"/>
        <v>0</v>
      </c>
      <c r="Q11" s="66">
        <f t="shared" si="3"/>
        <v>0</v>
      </c>
      <c r="R11" s="66">
        <f t="shared" si="3"/>
        <v>0</v>
      </c>
      <c r="S11" s="66">
        <f t="shared" si="3"/>
        <v>0</v>
      </c>
      <c r="T11" s="66">
        <f t="shared" si="3"/>
        <v>0</v>
      </c>
      <c r="U11" s="66">
        <f t="shared" si="3"/>
        <v>0</v>
      </c>
      <c r="V11" s="66">
        <f t="shared" si="3"/>
        <v>0</v>
      </c>
      <c r="W11" s="66">
        <f t="shared" si="3"/>
        <v>0</v>
      </c>
      <c r="X11" s="66">
        <f t="shared" si="3"/>
        <v>0</v>
      </c>
      <c r="Y11" s="66">
        <f t="shared" si="3"/>
        <v>0</v>
      </c>
    </row>
    <row r="12" spans="1:25" x14ac:dyDescent="0.25">
      <c r="A12" s="6"/>
      <c r="M12" s="49"/>
      <c r="N12" s="50"/>
    </row>
    <row r="13" spans="1:25" x14ac:dyDescent="0.25">
      <c r="A13" s="70" t="s">
        <v>45</v>
      </c>
      <c r="B13" s="8" t="str">
        <f xml:space="preserve"> CONCATENATE(Setup!$B$7, ", ", LEFT(Setup!$C$7,2))</f>
        <v>Nathan, NR</v>
      </c>
      <c r="C13" s="25">
        <f>SUM('Sprint 0'!C18:I18)</f>
        <v>0</v>
      </c>
      <c r="D13" s="25">
        <f>SUM('Sprint 0'!J18:P18)</f>
        <v>4</v>
      </c>
      <c r="E13" s="25">
        <f>SUM('Sprint 0'!Q18:W18)</f>
        <v>3.5</v>
      </c>
      <c r="F13" s="25">
        <f>SUM('Sprint 1'!C18:I18)</f>
        <v>0</v>
      </c>
      <c r="G13" s="25">
        <f>SUM('Sprint 1'!J18:P18)</f>
        <v>1</v>
      </c>
      <c r="H13" s="25">
        <f>SUM('Sprint 2'!C18:I18)</f>
        <v>0</v>
      </c>
      <c r="I13" s="25">
        <f>SUM('Sprint 2'!J18:P18)</f>
        <v>0</v>
      </c>
      <c r="J13" s="25">
        <f>SUM('Sprint 3'!C18:I18)</f>
        <v>0</v>
      </c>
      <c r="K13" s="25">
        <f>SUM('Sprint 3'!J18:P18)</f>
        <v>0</v>
      </c>
      <c r="L13" s="25">
        <f>SUM('Sprint 4'!C18:I18)</f>
        <v>0</v>
      </c>
      <c r="M13" s="25">
        <f>SUM('Sprint 4'!J18:P18)</f>
        <v>0</v>
      </c>
      <c r="N13" s="46">
        <f>SUM('Sprint 5'!C18:I18)</f>
        <v>0</v>
      </c>
      <c r="O13" s="22">
        <f>SUM('Sprint 5'!J18:P18)</f>
        <v>0</v>
      </c>
      <c r="P13" s="22">
        <f>SUM('Sprint 6'!C18:I18)</f>
        <v>0</v>
      </c>
      <c r="Q13" s="22">
        <f>SUM('Sprint 6'!J18:P18)</f>
        <v>0</v>
      </c>
      <c r="R13" s="22">
        <f>SUM('Sprint 7'!C18:I18)</f>
        <v>0</v>
      </c>
      <c r="S13" s="22">
        <f>SUM('Sprint 7'!J18:P18)</f>
        <v>0</v>
      </c>
      <c r="T13" s="22">
        <f>SUM('Sprint 8'!C18:I18)</f>
        <v>0</v>
      </c>
      <c r="U13" s="22">
        <f>SUM('Sprint 8'!J18:P18)</f>
        <v>0</v>
      </c>
      <c r="V13" s="22">
        <f>SUM('Sprint 9'!C18:I18)</f>
        <v>0</v>
      </c>
      <c r="W13" s="22">
        <f>SUM('Sprint 9'!J18:P18)</f>
        <v>0</v>
      </c>
      <c r="X13" s="22">
        <f>SUM('Sprint 10'!C18:I18)</f>
        <v>0</v>
      </c>
      <c r="Y13" s="22">
        <f>SUM('Sprint 10'!J18:P18)</f>
        <v>0</v>
      </c>
    </row>
    <row r="14" spans="1:25" x14ac:dyDescent="0.25">
      <c r="A14" s="70"/>
      <c r="B14" s="8" t="str">
        <f xml:space="preserve"> CONCATENATE(Setup!$B$8, ", ", LEFT(Setup!$C$8,2))</f>
        <v>Spencer, SS</v>
      </c>
      <c r="C14" s="25">
        <f>SUM('Sprint 0'!C19:I19)</f>
        <v>2.66</v>
      </c>
      <c r="D14" s="25">
        <f>SUM('Sprint 0'!J19:P19)</f>
        <v>8.5</v>
      </c>
      <c r="E14" s="25">
        <f>SUM('Sprint 0'!Q19:W19)</f>
        <v>4.9000000000000004</v>
      </c>
      <c r="F14" s="25">
        <f>SUM('Sprint 1'!C19:I19)</f>
        <v>5.75</v>
      </c>
      <c r="G14" s="25">
        <f>SUM('Sprint 1'!J19:P19)</f>
        <v>1.5</v>
      </c>
      <c r="H14" s="25">
        <f>SUM('Sprint 2'!C19:I19)</f>
        <v>0</v>
      </c>
      <c r="I14" s="25">
        <f>SUM('Sprint 2'!J19:P19)</f>
        <v>0</v>
      </c>
      <c r="J14" s="25">
        <f>SUM('Sprint 3'!C19:I19)</f>
        <v>0</v>
      </c>
      <c r="K14" s="25">
        <f>SUM('Sprint 3'!J19:P19)</f>
        <v>0</v>
      </c>
      <c r="L14" s="25">
        <f>SUM('Sprint 4'!C19:I19)</f>
        <v>0</v>
      </c>
      <c r="M14" s="25">
        <f>SUM('Sprint 4'!J19:P19)</f>
        <v>0</v>
      </c>
      <c r="N14" s="46">
        <f>SUM('Sprint 5'!C19:I19)</f>
        <v>0</v>
      </c>
      <c r="O14" s="22">
        <f>SUM('Sprint 5'!J19:P19)</f>
        <v>0</v>
      </c>
      <c r="P14" s="22">
        <f>SUM('Sprint 6'!C19:I19)</f>
        <v>0</v>
      </c>
      <c r="Q14" s="22">
        <f>SUM('Sprint 6'!J19:P19)</f>
        <v>0</v>
      </c>
      <c r="R14" s="22">
        <f>SUM('Sprint 7'!C19:I19)</f>
        <v>0</v>
      </c>
      <c r="S14" s="22">
        <f>SUM('Sprint 7'!J19:P19)</f>
        <v>0</v>
      </c>
      <c r="T14" s="22">
        <f>SUM('Sprint 8'!C19:I19)</f>
        <v>0</v>
      </c>
      <c r="U14" s="22">
        <f>SUM('Sprint 8'!J19:P19)</f>
        <v>0</v>
      </c>
      <c r="V14" s="22">
        <f>SUM('Sprint 9'!C19:I19)</f>
        <v>0</v>
      </c>
      <c r="W14" s="22">
        <f>SUM('Sprint 9'!J19:P19)</f>
        <v>0</v>
      </c>
      <c r="X14" s="22">
        <f>SUM('Sprint 10'!C19:I19)</f>
        <v>0</v>
      </c>
      <c r="Y14" s="22">
        <f>SUM('Sprint 10'!J19:P19)</f>
        <v>0</v>
      </c>
    </row>
    <row r="15" spans="1:25" x14ac:dyDescent="0.25">
      <c r="A15" s="70"/>
      <c r="B15" s="8" t="str">
        <f xml:space="preserve"> CONCATENATE(Setup!$B$9, ", ", LEFT(Setup!$C$9,2))</f>
        <v>Dylan, DW</v>
      </c>
      <c r="C15" s="25">
        <f>SUM('Sprint 0'!C20:I20)</f>
        <v>0.25</v>
      </c>
      <c r="D15" s="25">
        <f>SUM('Sprint 0'!J20:P20)</f>
        <v>1.25</v>
      </c>
      <c r="E15" s="25">
        <f>SUM('Sprint 0'!Q20:W20)</f>
        <v>4</v>
      </c>
      <c r="F15" s="25">
        <f>SUM('Sprint 1'!C20:I20)</f>
        <v>0.5</v>
      </c>
      <c r="G15" s="25">
        <f>SUM('Sprint 1'!J20:P20)</f>
        <v>0.5</v>
      </c>
      <c r="H15" s="25">
        <f>SUM('Sprint 2'!C20:I20)</f>
        <v>0</v>
      </c>
      <c r="I15" s="25">
        <f>SUM('Sprint 2'!J20:P20)</f>
        <v>0</v>
      </c>
      <c r="J15" s="25">
        <f>SUM('Sprint 3'!C20:I20)</f>
        <v>0</v>
      </c>
      <c r="K15" s="25">
        <f>SUM('Sprint 3'!J20:P20)</f>
        <v>0</v>
      </c>
      <c r="L15" s="25">
        <f>SUM('Sprint 4'!C20:I20)</f>
        <v>0</v>
      </c>
      <c r="M15" s="25">
        <f>SUM('Sprint 4'!J20:P20)</f>
        <v>0</v>
      </c>
      <c r="N15" s="46">
        <f>SUM('Sprint 5'!C20:I20)</f>
        <v>0</v>
      </c>
      <c r="O15" s="22">
        <f>SUM('Sprint 5'!J20:P20)</f>
        <v>0</v>
      </c>
      <c r="P15" s="22">
        <f>SUM('Sprint 6'!C20:I20)</f>
        <v>0</v>
      </c>
      <c r="Q15" s="22">
        <f>SUM('Sprint 6'!J20:P20)</f>
        <v>0</v>
      </c>
      <c r="R15" s="22">
        <f>SUM('Sprint 7'!C20:I20)</f>
        <v>0</v>
      </c>
      <c r="S15" s="22">
        <f>SUM('Sprint 7'!J20:P20)</f>
        <v>0</v>
      </c>
      <c r="T15" s="22">
        <f>SUM('Sprint 8'!C20:I20)</f>
        <v>0</v>
      </c>
      <c r="U15" s="22">
        <f>SUM('Sprint 8'!J20:P20)</f>
        <v>0</v>
      </c>
      <c r="V15" s="22">
        <f>SUM('Sprint 9'!C20:I20)</f>
        <v>0</v>
      </c>
      <c r="W15" s="22">
        <f>SUM('Sprint 9'!J20:P20)</f>
        <v>0</v>
      </c>
      <c r="X15" s="22">
        <f>SUM('Sprint 10'!C20:I20)</f>
        <v>0</v>
      </c>
      <c r="Y15" s="22">
        <f>SUM('Sprint 10'!J20:P20)</f>
        <v>0</v>
      </c>
    </row>
    <row r="16" spans="1:25" x14ac:dyDescent="0.25">
      <c r="A16" s="70"/>
      <c r="B16" s="8" t="e">
        <f xml:space="preserve"> CONCATENATE(Setup!#REF!, ", ", LEFT(Setup!#REF!,2))</f>
        <v>#REF!</v>
      </c>
      <c r="C16" s="25">
        <f>SUM('Sprint 0'!C21:I21)</f>
        <v>0</v>
      </c>
      <c r="D16" s="25">
        <f>SUM('Sprint 0'!J21:P21)</f>
        <v>0</v>
      </c>
      <c r="E16" s="25">
        <f>SUM('Sprint 0'!Q21:W21)</f>
        <v>0</v>
      </c>
      <c r="F16" s="25">
        <f>SUM('Sprint 1'!C21:I21)</f>
        <v>0</v>
      </c>
      <c r="G16" s="25">
        <f>SUM('Sprint 1'!J21:P21)</f>
        <v>0</v>
      </c>
      <c r="H16" s="25">
        <f>SUM('Sprint 2'!C21:I21)</f>
        <v>0</v>
      </c>
      <c r="I16" s="25">
        <f>SUM('Sprint 2'!J21:P21)</f>
        <v>0</v>
      </c>
      <c r="J16" s="25">
        <f>SUM('Sprint 3'!C21:I21)</f>
        <v>0</v>
      </c>
      <c r="K16" s="25">
        <f>SUM('Sprint 3'!J21:P21)</f>
        <v>0</v>
      </c>
      <c r="L16" s="25">
        <f>SUM('Sprint 4'!C21:I21)</f>
        <v>0</v>
      </c>
      <c r="M16" s="25">
        <f>SUM('Sprint 4'!J21:P21)</f>
        <v>0</v>
      </c>
      <c r="N16" s="46">
        <f>SUM('Sprint 5'!C21:I21)</f>
        <v>0</v>
      </c>
      <c r="O16" s="22">
        <f>SUM('Sprint 5'!J21:P21)</f>
        <v>0</v>
      </c>
      <c r="P16" s="22">
        <f>SUM('Sprint 6'!C21:I21)</f>
        <v>0</v>
      </c>
      <c r="Q16" s="22">
        <f>SUM('Sprint 6'!J21:P21)</f>
        <v>0</v>
      </c>
      <c r="R16" s="22">
        <f>SUM('Sprint 7'!C21:I21)</f>
        <v>0</v>
      </c>
      <c r="S16" s="22">
        <f>SUM('Sprint 7'!J21:P21)</f>
        <v>0</v>
      </c>
      <c r="T16" s="22">
        <f>SUM('Sprint 8'!C21:I21)</f>
        <v>0</v>
      </c>
      <c r="U16" s="22">
        <f>SUM('Sprint 8'!J21:P21)</f>
        <v>0</v>
      </c>
      <c r="V16" s="22">
        <f>SUM('Sprint 9'!C21:I21)</f>
        <v>0</v>
      </c>
      <c r="W16" s="22">
        <f>SUM('Sprint 9'!J21:P21)</f>
        <v>0</v>
      </c>
      <c r="X16" s="22">
        <f>SUM('Sprint 10'!C21:I21)</f>
        <v>0</v>
      </c>
      <c r="Y16" s="22">
        <f>SUM('Sprint 10'!J21:P21)</f>
        <v>0</v>
      </c>
    </row>
    <row r="17" spans="1:25" ht="15.75" x14ac:dyDescent="0.25">
      <c r="A17" s="70"/>
      <c r="B17" s="9" t="s">
        <v>30</v>
      </c>
      <c r="C17" s="21">
        <f xml:space="preserve"> SUM(C13:C16)</f>
        <v>2.91</v>
      </c>
      <c r="D17" s="21">
        <f t="shared" ref="D17" si="4" xml:space="preserve"> SUM(D13:D16)</f>
        <v>13.75</v>
      </c>
      <c r="E17" s="21">
        <f t="shared" ref="E17" si="5" xml:space="preserve"> SUM(E13:E16)</f>
        <v>12.4</v>
      </c>
      <c r="F17" s="21">
        <f t="shared" ref="F17" si="6" xml:space="preserve"> SUM(F13:F16)</f>
        <v>6.25</v>
      </c>
      <c r="G17" s="21">
        <f t="shared" ref="G17" si="7" xml:space="preserve"> SUM(G13:G16)</f>
        <v>3</v>
      </c>
      <c r="H17" s="21">
        <f t="shared" ref="H17" si="8" xml:space="preserve"> SUM(H13:H16)</f>
        <v>0</v>
      </c>
      <c r="I17" s="21">
        <f t="shared" ref="I17" si="9" xml:space="preserve"> SUM(I13:I16)</f>
        <v>0</v>
      </c>
      <c r="J17" s="21">
        <f t="shared" ref="J17" si="10" xml:space="preserve"> SUM(J13:J16)</f>
        <v>0</v>
      </c>
      <c r="K17" s="21">
        <f t="shared" ref="K17" si="11" xml:space="preserve"> SUM(K13:K16)</f>
        <v>0</v>
      </c>
      <c r="L17" s="21">
        <f t="shared" ref="L17" si="12" xml:space="preserve"> SUM(L13:L16)</f>
        <v>0</v>
      </c>
      <c r="M17" s="21">
        <f t="shared" ref="M17" si="13" xml:space="preserve"> SUM(M13:M16)</f>
        <v>0</v>
      </c>
      <c r="N17" s="48">
        <f>SUM(N13:N16)</f>
        <v>0</v>
      </c>
      <c r="O17" s="66">
        <f t="shared" ref="O17" si="14">SUM(O13:O16)</f>
        <v>0</v>
      </c>
      <c r="P17" s="66">
        <f t="shared" ref="P17" si="15">SUM(P13:P16)</f>
        <v>0</v>
      </c>
      <c r="Q17" s="66">
        <f t="shared" ref="Q17" si="16">SUM(Q13:Q16)</f>
        <v>0</v>
      </c>
      <c r="R17" s="66">
        <f t="shared" ref="R17" si="17">SUM(R13:R16)</f>
        <v>0</v>
      </c>
      <c r="S17" s="66">
        <f t="shared" ref="S17" si="18">SUM(S13:S16)</f>
        <v>0</v>
      </c>
      <c r="T17" s="66">
        <f t="shared" ref="T17" si="19">SUM(T13:T16)</f>
        <v>0</v>
      </c>
      <c r="U17" s="66">
        <f t="shared" ref="U17" si="20">SUM(U13:U16)</f>
        <v>0</v>
      </c>
      <c r="V17" s="66">
        <f t="shared" ref="V17" si="21">SUM(V13:V16)</f>
        <v>0</v>
      </c>
      <c r="W17" s="66">
        <f t="shared" ref="W17" si="22">SUM(W13:W16)</f>
        <v>0</v>
      </c>
      <c r="X17" s="66">
        <f t="shared" ref="X17" si="23">SUM(X13:X16)</f>
        <v>0</v>
      </c>
      <c r="Y17" s="66">
        <f t="shared" ref="Y17" si="24">SUM(Y13:Y16)</f>
        <v>0</v>
      </c>
    </row>
    <row r="18" spans="1:25" x14ac:dyDescent="0.25">
      <c r="M18" s="49"/>
      <c r="N18" s="50"/>
    </row>
    <row r="19" spans="1:25" x14ac:dyDescent="0.25">
      <c r="A19" s="71" t="s">
        <v>39</v>
      </c>
      <c r="B19" s="8" t="str">
        <f xml:space="preserve"> CONCATENATE(Setup!$B$7, ", ", LEFT(Setup!$C$7,2))</f>
        <v>Nathan, NR</v>
      </c>
      <c r="C19" s="25">
        <f xml:space="preserve"> C7 + C13</f>
        <v>2</v>
      </c>
      <c r="D19" s="25">
        <f xml:space="preserve"> C19 + D7 + D14</f>
        <v>11.5</v>
      </c>
      <c r="E19" s="25">
        <f t="shared" ref="E19:Y22" si="25" xml:space="preserve"> D19 + E7 + E14</f>
        <v>17.399999999999999</v>
      </c>
      <c r="F19" s="25">
        <f t="shared" si="25"/>
        <v>24.15</v>
      </c>
      <c r="G19" s="25">
        <f t="shared" si="25"/>
        <v>30.65</v>
      </c>
      <c r="H19" s="25">
        <f t="shared" si="25"/>
        <v>35.65</v>
      </c>
      <c r="I19" s="25">
        <f t="shared" si="25"/>
        <v>46.15</v>
      </c>
      <c r="J19" s="25">
        <f t="shared" si="25"/>
        <v>57.15</v>
      </c>
      <c r="K19" s="25">
        <f t="shared" si="25"/>
        <v>66.150000000000006</v>
      </c>
      <c r="L19" s="25">
        <f t="shared" si="25"/>
        <v>66.150000000000006</v>
      </c>
      <c r="M19" s="45">
        <f t="shared" si="25"/>
        <v>66.150000000000006</v>
      </c>
      <c r="N19" s="46">
        <f t="shared" si="25"/>
        <v>66.150000000000006</v>
      </c>
      <c r="O19" s="25">
        <f t="shared" si="25"/>
        <v>66.150000000000006</v>
      </c>
      <c r="P19" s="25">
        <f t="shared" si="25"/>
        <v>66.150000000000006</v>
      </c>
      <c r="Q19" s="25">
        <f t="shared" si="25"/>
        <v>66.150000000000006</v>
      </c>
      <c r="R19" s="25">
        <f t="shared" si="25"/>
        <v>66.150000000000006</v>
      </c>
      <c r="S19" s="25">
        <f t="shared" si="25"/>
        <v>66.150000000000006</v>
      </c>
      <c r="T19" s="25">
        <f t="shared" si="25"/>
        <v>66.150000000000006</v>
      </c>
      <c r="U19" s="25">
        <f t="shared" si="25"/>
        <v>66.150000000000006</v>
      </c>
      <c r="V19" s="25">
        <f t="shared" si="25"/>
        <v>66.150000000000006</v>
      </c>
      <c r="W19" s="25">
        <f t="shared" si="25"/>
        <v>66.150000000000006</v>
      </c>
      <c r="X19" s="25">
        <f t="shared" si="25"/>
        <v>66.150000000000006</v>
      </c>
      <c r="Y19" s="25">
        <f t="shared" si="25"/>
        <v>66.150000000000006</v>
      </c>
    </row>
    <row r="20" spans="1:25" x14ac:dyDescent="0.25">
      <c r="A20" s="71"/>
      <c r="B20" s="8" t="str">
        <f xml:space="preserve"> CONCATENATE(Setup!$B$8, ", ", LEFT(Setup!$C$8,2))</f>
        <v>Spencer, SS</v>
      </c>
      <c r="C20" s="25">
        <f t="shared" ref="C20:C22" si="26" xml:space="preserve"> C8 + C14</f>
        <v>2.66</v>
      </c>
      <c r="D20" s="25">
        <f t="shared" ref="D20:S22" si="27" xml:space="preserve"> C20 + D8 + D15</f>
        <v>4.41</v>
      </c>
      <c r="E20" s="25">
        <f t="shared" si="27"/>
        <v>8.91</v>
      </c>
      <c r="F20" s="25">
        <f t="shared" si="27"/>
        <v>9.91</v>
      </c>
      <c r="G20" s="25">
        <f t="shared" si="27"/>
        <v>11.91</v>
      </c>
      <c r="H20" s="25">
        <f t="shared" si="27"/>
        <v>13.91</v>
      </c>
      <c r="I20" s="25">
        <f t="shared" si="27"/>
        <v>25.913</v>
      </c>
      <c r="J20" s="25">
        <f t="shared" si="27"/>
        <v>36.912999999999997</v>
      </c>
      <c r="K20" s="25">
        <f t="shared" si="27"/>
        <v>44.912999999999997</v>
      </c>
      <c r="L20" s="25">
        <f t="shared" si="27"/>
        <v>44.912999999999997</v>
      </c>
      <c r="M20" s="45">
        <f t="shared" si="27"/>
        <v>44.912999999999997</v>
      </c>
      <c r="N20" s="46">
        <f t="shared" si="27"/>
        <v>44.912999999999997</v>
      </c>
      <c r="O20" s="25">
        <f t="shared" si="27"/>
        <v>44.912999999999997</v>
      </c>
      <c r="P20" s="25">
        <f t="shared" si="27"/>
        <v>44.912999999999997</v>
      </c>
      <c r="Q20" s="25">
        <f t="shared" si="27"/>
        <v>44.912999999999997</v>
      </c>
      <c r="R20" s="25">
        <f t="shared" si="27"/>
        <v>44.912999999999997</v>
      </c>
      <c r="S20" s="25">
        <f t="shared" si="27"/>
        <v>44.912999999999997</v>
      </c>
      <c r="T20" s="25">
        <f t="shared" si="25"/>
        <v>44.912999999999997</v>
      </c>
      <c r="U20" s="25">
        <f t="shared" si="25"/>
        <v>44.912999999999997</v>
      </c>
      <c r="V20" s="25">
        <f t="shared" si="25"/>
        <v>44.912999999999997</v>
      </c>
      <c r="W20" s="25">
        <f t="shared" si="25"/>
        <v>44.912999999999997</v>
      </c>
      <c r="X20" s="25">
        <f t="shared" si="25"/>
        <v>44.912999999999997</v>
      </c>
      <c r="Y20" s="25">
        <f t="shared" si="25"/>
        <v>44.912999999999997</v>
      </c>
    </row>
    <row r="21" spans="1:25" x14ac:dyDescent="0.25">
      <c r="A21" s="71"/>
      <c r="B21" s="8" t="str">
        <f xml:space="preserve"> CONCATENATE(Setup!$B$9, ", ", LEFT(Setup!$C$9,2))</f>
        <v>Dylan, DW</v>
      </c>
      <c r="C21" s="25">
        <f t="shared" si="26"/>
        <v>1.25</v>
      </c>
      <c r="D21" s="25">
        <f t="shared" si="27"/>
        <v>3</v>
      </c>
      <c r="E21" s="25">
        <f t="shared" si="25"/>
        <v>8</v>
      </c>
      <c r="F21" s="25">
        <f t="shared" si="25"/>
        <v>11</v>
      </c>
      <c r="G21" s="25">
        <f t="shared" si="25"/>
        <v>12</v>
      </c>
      <c r="H21" s="25">
        <f t="shared" si="25"/>
        <v>17.067</v>
      </c>
      <c r="I21" s="25">
        <f t="shared" si="25"/>
        <v>22.567</v>
      </c>
      <c r="J21" s="25">
        <f t="shared" si="25"/>
        <v>28.567</v>
      </c>
      <c r="K21" s="25">
        <f t="shared" si="25"/>
        <v>33.567</v>
      </c>
      <c r="L21" s="25">
        <f t="shared" si="25"/>
        <v>33.567</v>
      </c>
      <c r="M21" s="45">
        <f t="shared" si="25"/>
        <v>33.567</v>
      </c>
      <c r="N21" s="46">
        <f t="shared" si="25"/>
        <v>33.567</v>
      </c>
      <c r="O21" s="25">
        <f t="shared" si="25"/>
        <v>33.567</v>
      </c>
      <c r="P21" s="25">
        <f t="shared" si="25"/>
        <v>33.567</v>
      </c>
      <c r="Q21" s="25">
        <f t="shared" si="25"/>
        <v>33.567</v>
      </c>
      <c r="R21" s="25">
        <f t="shared" si="25"/>
        <v>33.567</v>
      </c>
      <c r="S21" s="25">
        <f t="shared" si="25"/>
        <v>33.567</v>
      </c>
      <c r="T21" s="25">
        <f t="shared" si="25"/>
        <v>33.567</v>
      </c>
      <c r="U21" s="25">
        <f t="shared" si="25"/>
        <v>33.567</v>
      </c>
      <c r="V21" s="25">
        <f t="shared" si="25"/>
        <v>33.567</v>
      </c>
      <c r="W21" s="25">
        <f t="shared" si="25"/>
        <v>33.567</v>
      </c>
      <c r="X21" s="25">
        <f t="shared" si="25"/>
        <v>33.567</v>
      </c>
      <c r="Y21" s="25">
        <f t="shared" si="25"/>
        <v>33.567</v>
      </c>
    </row>
    <row r="22" spans="1:25" x14ac:dyDescent="0.25">
      <c r="A22" s="71"/>
      <c r="B22" s="8" t="e">
        <f xml:space="preserve"> CONCATENATE(Setup!#REF!, ", ", LEFT(Setup!#REF!,2))</f>
        <v>#REF!</v>
      </c>
      <c r="C22" s="25">
        <f t="shared" si="26"/>
        <v>0</v>
      </c>
      <c r="D22" s="25">
        <f t="shared" si="27"/>
        <v>13.75</v>
      </c>
      <c r="E22" s="25">
        <f t="shared" si="25"/>
        <v>26.15</v>
      </c>
      <c r="F22" s="25">
        <f t="shared" si="25"/>
        <v>32.4</v>
      </c>
      <c r="G22" s="25">
        <f t="shared" si="25"/>
        <v>35.4</v>
      </c>
      <c r="H22" s="25">
        <f t="shared" si="25"/>
        <v>35.4</v>
      </c>
      <c r="I22" s="25">
        <f t="shared" si="25"/>
        <v>35.4</v>
      </c>
      <c r="J22" s="25">
        <f t="shared" si="25"/>
        <v>35.4</v>
      </c>
      <c r="K22" s="25">
        <f t="shared" si="25"/>
        <v>35.4</v>
      </c>
      <c r="L22" s="25">
        <f t="shared" si="25"/>
        <v>35.4</v>
      </c>
      <c r="M22" s="45">
        <f t="shared" si="25"/>
        <v>35.4</v>
      </c>
      <c r="N22" s="46">
        <f t="shared" si="25"/>
        <v>35.4</v>
      </c>
      <c r="O22" s="25">
        <f t="shared" si="25"/>
        <v>35.4</v>
      </c>
      <c r="P22" s="25">
        <f t="shared" si="25"/>
        <v>35.4</v>
      </c>
      <c r="Q22" s="25">
        <f t="shared" si="25"/>
        <v>35.4</v>
      </c>
      <c r="R22" s="25">
        <f t="shared" si="25"/>
        <v>35.4</v>
      </c>
      <c r="S22" s="25">
        <f t="shared" si="25"/>
        <v>35.4</v>
      </c>
      <c r="T22" s="25">
        <f t="shared" si="25"/>
        <v>35.4</v>
      </c>
      <c r="U22" s="25">
        <f t="shared" si="25"/>
        <v>35.4</v>
      </c>
      <c r="V22" s="25">
        <f t="shared" si="25"/>
        <v>35.4</v>
      </c>
      <c r="W22" s="25">
        <f t="shared" si="25"/>
        <v>35.4</v>
      </c>
      <c r="X22" s="25">
        <f t="shared" si="25"/>
        <v>35.4</v>
      </c>
      <c r="Y22" s="25">
        <f t="shared" si="25"/>
        <v>35.4</v>
      </c>
    </row>
    <row r="23" spans="1:25" ht="15.75" x14ac:dyDescent="0.25">
      <c r="A23" s="71"/>
      <c r="B23" s="9" t="s">
        <v>30</v>
      </c>
      <c r="C23" s="21">
        <f xml:space="preserve"> C11 + C17</f>
        <v>5.91</v>
      </c>
      <c r="D23" s="21">
        <f xml:space="preserve"> C23 + D11 + D17</f>
        <v>22.91</v>
      </c>
      <c r="E23" s="21">
        <f t="shared" ref="E23:Y23" si="28" xml:space="preserve"> D23 + E11 + E17</f>
        <v>41.81</v>
      </c>
      <c r="F23" s="21">
        <f t="shared" si="28"/>
        <v>52.56</v>
      </c>
      <c r="G23" s="21">
        <f t="shared" si="28"/>
        <v>63.06</v>
      </c>
      <c r="H23" s="21">
        <f t="shared" si="28"/>
        <v>75.12700000000001</v>
      </c>
      <c r="I23" s="21">
        <f t="shared" si="28"/>
        <v>103.13000000000001</v>
      </c>
      <c r="J23" s="21">
        <f t="shared" si="28"/>
        <v>131.13</v>
      </c>
      <c r="K23" s="21">
        <f t="shared" si="28"/>
        <v>153.13</v>
      </c>
      <c r="L23" s="21">
        <f t="shared" si="28"/>
        <v>153.13</v>
      </c>
      <c r="M23" s="47">
        <f t="shared" si="28"/>
        <v>153.13</v>
      </c>
      <c r="N23" s="48">
        <f t="shared" si="28"/>
        <v>153.13</v>
      </c>
      <c r="O23" s="21">
        <f t="shared" si="28"/>
        <v>153.13</v>
      </c>
      <c r="P23" s="21">
        <f t="shared" si="28"/>
        <v>153.13</v>
      </c>
      <c r="Q23" s="21">
        <f t="shared" si="28"/>
        <v>153.13</v>
      </c>
      <c r="R23" s="21">
        <f t="shared" si="28"/>
        <v>153.13</v>
      </c>
      <c r="S23" s="21">
        <f t="shared" si="28"/>
        <v>153.13</v>
      </c>
      <c r="T23" s="21">
        <f t="shared" si="28"/>
        <v>153.13</v>
      </c>
      <c r="U23" s="21">
        <f t="shared" si="28"/>
        <v>153.13</v>
      </c>
      <c r="V23" s="21">
        <f t="shared" si="28"/>
        <v>153.13</v>
      </c>
      <c r="W23" s="21">
        <f t="shared" si="28"/>
        <v>153.13</v>
      </c>
      <c r="X23" s="21">
        <f t="shared" si="28"/>
        <v>153.13</v>
      </c>
      <c r="Y23" s="21">
        <f t="shared" si="28"/>
        <v>153.13</v>
      </c>
    </row>
    <row r="24" spans="1:25" ht="15.75" x14ac:dyDescent="0.25">
      <c r="A24" s="19"/>
      <c r="B24" s="20"/>
      <c r="M24" s="49"/>
      <c r="N24" s="50"/>
    </row>
    <row r="25" spans="1:25" x14ac:dyDescent="0.25">
      <c r="A25" s="71" t="s">
        <v>8</v>
      </c>
      <c r="B25" s="8" t="str">
        <f xml:space="preserve"> CONCATENATE(Setup!$B$7, ", ", LEFT(Setup!$C$7,2))</f>
        <v>Nathan, NR</v>
      </c>
      <c r="C25" s="29">
        <f xml:space="preserve"> C19 / C$6</f>
        <v>2</v>
      </c>
      <c r="D25" s="29">
        <f t="shared" ref="D25:E25" si="29" xml:space="preserve"> D19 / D$6</f>
        <v>5.75</v>
      </c>
      <c r="E25" s="29">
        <f t="shared" si="29"/>
        <v>5.8</v>
      </c>
      <c r="F25" s="29">
        <f t="shared" ref="F25:Y25" si="30" xml:space="preserve"> F19 / F$6</f>
        <v>6.0374999999999996</v>
      </c>
      <c r="G25" s="29">
        <f t="shared" si="30"/>
        <v>6.13</v>
      </c>
      <c r="H25" s="29">
        <f t="shared" si="30"/>
        <v>5.9416666666666664</v>
      </c>
      <c r="I25" s="29">
        <f t="shared" si="30"/>
        <v>6.5928571428571425</v>
      </c>
      <c r="J25" s="29">
        <f t="shared" si="30"/>
        <v>7.1437499999999998</v>
      </c>
      <c r="K25" s="29">
        <f t="shared" si="30"/>
        <v>7.3500000000000005</v>
      </c>
      <c r="L25" s="29">
        <f t="shared" si="30"/>
        <v>6.6150000000000002</v>
      </c>
      <c r="M25" s="51">
        <f t="shared" si="30"/>
        <v>6.0136363636363646</v>
      </c>
      <c r="N25" s="52">
        <f t="shared" si="30"/>
        <v>5.5125000000000002</v>
      </c>
      <c r="O25" s="29">
        <f t="shared" si="30"/>
        <v>5.088461538461539</v>
      </c>
      <c r="P25" s="29">
        <f t="shared" si="30"/>
        <v>4.7250000000000005</v>
      </c>
      <c r="Q25" s="29">
        <f t="shared" si="30"/>
        <v>4.41</v>
      </c>
      <c r="R25" s="29">
        <f t="shared" si="30"/>
        <v>4.1343750000000004</v>
      </c>
      <c r="S25" s="29">
        <f t="shared" si="30"/>
        <v>3.8911764705882357</v>
      </c>
      <c r="T25" s="29">
        <f t="shared" si="30"/>
        <v>3.6750000000000003</v>
      </c>
      <c r="U25" s="29">
        <f t="shared" si="30"/>
        <v>3.4815789473684213</v>
      </c>
      <c r="V25" s="29">
        <f t="shared" si="30"/>
        <v>3.3075000000000001</v>
      </c>
      <c r="W25" s="29">
        <f t="shared" si="30"/>
        <v>3.1500000000000004</v>
      </c>
      <c r="X25" s="29">
        <f t="shared" si="30"/>
        <v>3.0068181818181823</v>
      </c>
      <c r="Y25" s="29">
        <f t="shared" si="30"/>
        <v>2.8760869565217395</v>
      </c>
    </row>
    <row r="26" spans="1:25" x14ac:dyDescent="0.25">
      <c r="A26" s="71"/>
      <c r="B26" s="8" t="str">
        <f xml:space="preserve"> CONCATENATE(Setup!$B$8, ", ", LEFT(Setup!$C$8,2))</f>
        <v>Spencer, SS</v>
      </c>
      <c r="C26" s="29">
        <f t="shared" ref="C26:E29" si="31" xml:space="preserve"> C20 / C$6</f>
        <v>2.66</v>
      </c>
      <c r="D26" s="29">
        <f t="shared" si="31"/>
        <v>2.2050000000000001</v>
      </c>
      <c r="E26" s="29">
        <f t="shared" si="31"/>
        <v>2.97</v>
      </c>
      <c r="F26" s="29">
        <f t="shared" ref="F26:Y26" si="32" xml:space="preserve"> F20 / F$6</f>
        <v>2.4775</v>
      </c>
      <c r="G26" s="29">
        <f t="shared" si="32"/>
        <v>2.3820000000000001</v>
      </c>
      <c r="H26" s="29">
        <f t="shared" si="32"/>
        <v>2.3183333333333334</v>
      </c>
      <c r="I26" s="29">
        <f t="shared" si="32"/>
        <v>3.701857142857143</v>
      </c>
      <c r="J26" s="29">
        <f t="shared" si="32"/>
        <v>4.6141249999999996</v>
      </c>
      <c r="K26" s="29">
        <f t="shared" si="32"/>
        <v>4.9903333333333331</v>
      </c>
      <c r="L26" s="29">
        <f t="shared" si="32"/>
        <v>4.4912999999999998</v>
      </c>
      <c r="M26" s="51">
        <f t="shared" si="32"/>
        <v>4.0829999999999993</v>
      </c>
      <c r="N26" s="52">
        <f t="shared" si="32"/>
        <v>3.7427499999999996</v>
      </c>
      <c r="O26" s="29">
        <f t="shared" si="32"/>
        <v>3.4548461538461535</v>
      </c>
      <c r="P26" s="29">
        <f t="shared" si="32"/>
        <v>3.2080714285714285</v>
      </c>
      <c r="Q26" s="29">
        <f t="shared" si="32"/>
        <v>2.9941999999999998</v>
      </c>
      <c r="R26" s="29">
        <f t="shared" si="32"/>
        <v>2.8070624999999998</v>
      </c>
      <c r="S26" s="29">
        <f t="shared" si="32"/>
        <v>2.641941176470588</v>
      </c>
      <c r="T26" s="29">
        <f t="shared" si="32"/>
        <v>2.4951666666666665</v>
      </c>
      <c r="U26" s="29">
        <f t="shared" si="32"/>
        <v>2.3638421052631577</v>
      </c>
      <c r="V26" s="29">
        <f t="shared" si="32"/>
        <v>2.2456499999999999</v>
      </c>
      <c r="W26" s="29">
        <f t="shared" si="32"/>
        <v>2.1387142857142853</v>
      </c>
      <c r="X26" s="29">
        <f t="shared" si="32"/>
        <v>2.0414999999999996</v>
      </c>
      <c r="Y26" s="29">
        <f t="shared" si="32"/>
        <v>1.9527391304347825</v>
      </c>
    </row>
    <row r="27" spans="1:25" x14ac:dyDescent="0.25">
      <c r="A27" s="71"/>
      <c r="B27" s="8" t="str">
        <f xml:space="preserve"> CONCATENATE(Setup!$B$9, ", ", LEFT(Setup!$C$9,2))</f>
        <v>Dylan, DW</v>
      </c>
      <c r="C27" s="29">
        <f t="shared" si="31"/>
        <v>1.25</v>
      </c>
      <c r="D27" s="29">
        <f t="shared" si="31"/>
        <v>1.5</v>
      </c>
      <c r="E27" s="29">
        <f t="shared" si="31"/>
        <v>2.6666666666666665</v>
      </c>
      <c r="F27" s="29">
        <f t="shared" ref="F27:Y27" si="33" xml:space="preserve"> F21 / F$6</f>
        <v>2.75</v>
      </c>
      <c r="G27" s="29">
        <f t="shared" si="33"/>
        <v>2.4</v>
      </c>
      <c r="H27" s="29">
        <f t="shared" si="33"/>
        <v>2.8445</v>
      </c>
      <c r="I27" s="29">
        <f t="shared" si="33"/>
        <v>3.2238571428571428</v>
      </c>
      <c r="J27" s="29">
        <f t="shared" si="33"/>
        <v>3.570875</v>
      </c>
      <c r="K27" s="29">
        <f t="shared" si="33"/>
        <v>3.7296666666666667</v>
      </c>
      <c r="L27" s="29">
        <f t="shared" si="33"/>
        <v>3.3567</v>
      </c>
      <c r="M27" s="51">
        <f t="shared" si="33"/>
        <v>3.0515454545454546</v>
      </c>
      <c r="N27" s="52">
        <f t="shared" si="33"/>
        <v>2.79725</v>
      </c>
      <c r="O27" s="29">
        <f t="shared" si="33"/>
        <v>2.5820769230769232</v>
      </c>
      <c r="P27" s="29">
        <f t="shared" si="33"/>
        <v>2.397642857142857</v>
      </c>
      <c r="Q27" s="29">
        <f t="shared" si="33"/>
        <v>2.2378</v>
      </c>
      <c r="R27" s="29">
        <f t="shared" si="33"/>
        <v>2.0979375</v>
      </c>
      <c r="S27" s="29">
        <f t="shared" si="33"/>
        <v>1.9745294117647059</v>
      </c>
      <c r="T27" s="29">
        <f t="shared" si="33"/>
        <v>1.8648333333333333</v>
      </c>
      <c r="U27" s="29">
        <f t="shared" si="33"/>
        <v>1.7666842105263159</v>
      </c>
      <c r="V27" s="29">
        <f t="shared" si="33"/>
        <v>1.67835</v>
      </c>
      <c r="W27" s="29">
        <f t="shared" si="33"/>
        <v>1.5984285714285715</v>
      </c>
      <c r="X27" s="29">
        <f t="shared" si="33"/>
        <v>1.5257727272727273</v>
      </c>
      <c r="Y27" s="29">
        <f t="shared" si="33"/>
        <v>1.4594347826086957</v>
      </c>
    </row>
    <row r="28" spans="1:25" x14ac:dyDescent="0.25">
      <c r="A28" s="71"/>
      <c r="B28" s="8" t="e">
        <f xml:space="preserve"> CONCATENATE(Setup!#REF!, ", ", LEFT(Setup!#REF!,2))</f>
        <v>#REF!</v>
      </c>
      <c r="C28" s="29">
        <f t="shared" si="31"/>
        <v>0</v>
      </c>
      <c r="D28" s="29">
        <f t="shared" si="31"/>
        <v>6.875</v>
      </c>
      <c r="E28" s="29">
        <f t="shared" si="31"/>
        <v>8.7166666666666668</v>
      </c>
      <c r="F28" s="29">
        <f t="shared" ref="F28:Y28" si="34" xml:space="preserve"> F22 / F$6</f>
        <v>8.1</v>
      </c>
      <c r="G28" s="29">
        <f t="shared" si="34"/>
        <v>7.08</v>
      </c>
      <c r="H28" s="29">
        <f t="shared" si="34"/>
        <v>5.8999999999999995</v>
      </c>
      <c r="I28" s="29">
        <f t="shared" si="34"/>
        <v>5.0571428571428569</v>
      </c>
      <c r="J28" s="29">
        <f t="shared" si="34"/>
        <v>4.4249999999999998</v>
      </c>
      <c r="K28" s="29">
        <f t="shared" si="34"/>
        <v>3.9333333333333331</v>
      </c>
      <c r="L28" s="29">
        <f t="shared" si="34"/>
        <v>3.54</v>
      </c>
      <c r="M28" s="51">
        <f t="shared" si="34"/>
        <v>3.2181818181818183</v>
      </c>
      <c r="N28" s="52">
        <f t="shared" si="34"/>
        <v>2.9499999999999997</v>
      </c>
      <c r="O28" s="29">
        <f t="shared" si="34"/>
        <v>2.7230769230769232</v>
      </c>
      <c r="P28" s="29">
        <f t="shared" si="34"/>
        <v>2.5285714285714285</v>
      </c>
      <c r="Q28" s="29">
        <f t="shared" si="34"/>
        <v>2.36</v>
      </c>
      <c r="R28" s="29">
        <f t="shared" si="34"/>
        <v>2.2124999999999999</v>
      </c>
      <c r="S28" s="29">
        <f t="shared" si="34"/>
        <v>2.0823529411764703</v>
      </c>
      <c r="T28" s="29">
        <f t="shared" si="34"/>
        <v>1.9666666666666666</v>
      </c>
      <c r="U28" s="29">
        <f t="shared" si="34"/>
        <v>1.8631578947368421</v>
      </c>
      <c r="V28" s="29">
        <f t="shared" si="34"/>
        <v>1.77</v>
      </c>
      <c r="W28" s="29">
        <f t="shared" si="34"/>
        <v>1.6857142857142857</v>
      </c>
      <c r="X28" s="29">
        <f t="shared" si="34"/>
        <v>1.6090909090909091</v>
      </c>
      <c r="Y28" s="29">
        <f t="shared" si="34"/>
        <v>1.5391304347826087</v>
      </c>
    </row>
    <row r="29" spans="1:25" ht="15.75" x14ac:dyDescent="0.25">
      <c r="A29" s="71"/>
      <c r="B29" s="9" t="s">
        <v>30</v>
      </c>
      <c r="C29" s="30">
        <f t="shared" si="31"/>
        <v>5.91</v>
      </c>
      <c r="D29" s="30">
        <f t="shared" si="31"/>
        <v>11.455</v>
      </c>
      <c r="E29" s="30">
        <f t="shared" si="31"/>
        <v>13.936666666666667</v>
      </c>
      <c r="F29" s="30">
        <f t="shared" ref="F29:Y29" si="35" xml:space="preserve"> F23 / F$6</f>
        <v>13.14</v>
      </c>
      <c r="G29" s="30">
        <f t="shared" si="35"/>
        <v>12.612</v>
      </c>
      <c r="H29" s="30">
        <f t="shared" si="35"/>
        <v>12.521166666666668</v>
      </c>
      <c r="I29" s="30">
        <f t="shared" si="35"/>
        <v>14.732857142857144</v>
      </c>
      <c r="J29" s="30">
        <f t="shared" si="35"/>
        <v>16.391249999999999</v>
      </c>
      <c r="K29" s="30">
        <f t="shared" si="35"/>
        <v>17.014444444444443</v>
      </c>
      <c r="L29" s="30">
        <f t="shared" si="35"/>
        <v>15.312999999999999</v>
      </c>
      <c r="M29" s="53">
        <f t="shared" si="35"/>
        <v>13.92090909090909</v>
      </c>
      <c r="N29" s="54">
        <f t="shared" si="35"/>
        <v>12.760833333333332</v>
      </c>
      <c r="O29" s="30">
        <f t="shared" si="35"/>
        <v>11.779230769230768</v>
      </c>
      <c r="P29" s="30">
        <f t="shared" si="35"/>
        <v>10.937857142857142</v>
      </c>
      <c r="Q29" s="30">
        <f t="shared" si="35"/>
        <v>10.208666666666666</v>
      </c>
      <c r="R29" s="30">
        <f t="shared" si="35"/>
        <v>9.5706249999999997</v>
      </c>
      <c r="S29" s="30">
        <f t="shared" si="35"/>
        <v>9.0076470588235296</v>
      </c>
      <c r="T29" s="30">
        <f t="shared" si="35"/>
        <v>8.5072222222222216</v>
      </c>
      <c r="U29" s="30">
        <f t="shared" si="35"/>
        <v>8.0594736842105252</v>
      </c>
      <c r="V29" s="30">
        <f t="shared" si="35"/>
        <v>7.6564999999999994</v>
      </c>
      <c r="W29" s="30">
        <f t="shared" si="35"/>
        <v>7.2919047619047621</v>
      </c>
      <c r="X29" s="30">
        <f t="shared" si="35"/>
        <v>6.960454545454545</v>
      </c>
      <c r="Y29" s="30">
        <f t="shared" si="35"/>
        <v>6.6578260869565211</v>
      </c>
    </row>
  </sheetData>
  <mergeCells count="18">
    <mergeCell ref="C1:M1"/>
    <mergeCell ref="L4:M4"/>
    <mergeCell ref="N4:O4"/>
    <mergeCell ref="P4:Q4"/>
    <mergeCell ref="R4:S4"/>
    <mergeCell ref="C4:E4"/>
    <mergeCell ref="F4:G4"/>
    <mergeCell ref="H4:I4"/>
    <mergeCell ref="J4:K4"/>
    <mergeCell ref="A7:A11"/>
    <mergeCell ref="A25:A29"/>
    <mergeCell ref="A19:A23"/>
    <mergeCell ref="X4:Y4"/>
    <mergeCell ref="C3:M3"/>
    <mergeCell ref="N3:Y3"/>
    <mergeCell ref="T4:U4"/>
    <mergeCell ref="V4:W4"/>
    <mergeCell ref="A13:A17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47"/>
  <sheetViews>
    <sheetView workbookViewId="0">
      <selection activeCell="C4" sqref="C4"/>
    </sheetView>
  </sheetViews>
  <sheetFormatPr defaultColWidth="8.85546875" defaultRowHeight="15" x14ac:dyDescent="0.25"/>
  <cols>
    <col min="2" max="2" width="15.7109375" customWidth="1"/>
  </cols>
  <sheetData>
    <row r="1" spans="1:23" ht="18.75" x14ac:dyDescent="0.3">
      <c r="C1" s="14" t="s">
        <v>29</v>
      </c>
    </row>
    <row r="2" spans="1:23" ht="18.75" x14ac:dyDescent="0.3">
      <c r="B2" s="23" t="str">
        <f>SheetName</f>
        <v>Sprint 0</v>
      </c>
      <c r="C2" s="27" t="s">
        <v>38</v>
      </c>
    </row>
    <row r="3" spans="1:23" x14ac:dyDescent="0.25">
      <c r="B3" s="31" t="s">
        <v>36</v>
      </c>
      <c r="C3" s="82" t="s">
        <v>32</v>
      </c>
      <c r="D3" s="83"/>
      <c r="E3" s="83"/>
      <c r="F3" s="83"/>
      <c r="G3" s="83"/>
      <c r="H3" s="83"/>
      <c r="I3" s="83"/>
      <c r="J3" s="83" t="s">
        <v>33</v>
      </c>
      <c r="K3" s="83"/>
      <c r="L3" s="83"/>
      <c r="M3" s="83"/>
      <c r="N3" s="83"/>
      <c r="O3" s="83"/>
      <c r="P3" s="83"/>
      <c r="Q3" s="83" t="s">
        <v>34</v>
      </c>
      <c r="R3" s="83"/>
      <c r="S3" s="83"/>
      <c r="T3" s="83"/>
      <c r="U3" s="83"/>
      <c r="V3" s="83"/>
      <c r="W3" s="84"/>
    </row>
    <row r="4" spans="1:23" x14ac:dyDescent="0.25">
      <c r="A4" s="6"/>
      <c r="B4" s="5" t="s">
        <v>6</v>
      </c>
      <c r="C4" s="15">
        <f xml:space="preserve"> Setup!$B$3</f>
        <v>42254</v>
      </c>
      <c r="D4" s="15">
        <f xml:space="preserve"> C$4 + 1</f>
        <v>42255</v>
      </c>
      <c r="E4" s="15">
        <f t="shared" ref="E4:W4" si="0" xml:space="preserve"> D$4 + 1</f>
        <v>42256</v>
      </c>
      <c r="F4" s="15">
        <f t="shared" si="0"/>
        <v>42257</v>
      </c>
      <c r="G4" s="15">
        <f t="shared" si="0"/>
        <v>42258</v>
      </c>
      <c r="H4" s="15">
        <f t="shared" si="0"/>
        <v>42259</v>
      </c>
      <c r="I4" s="56">
        <f t="shared" si="0"/>
        <v>42260</v>
      </c>
      <c r="J4" s="57">
        <f t="shared" si="0"/>
        <v>42261</v>
      </c>
      <c r="K4" s="15">
        <f t="shared" si="0"/>
        <v>42262</v>
      </c>
      <c r="L4" s="15">
        <f t="shared" si="0"/>
        <v>42263</v>
      </c>
      <c r="M4" s="15">
        <f t="shared" si="0"/>
        <v>42264</v>
      </c>
      <c r="N4" s="15">
        <f t="shared" si="0"/>
        <v>42265</v>
      </c>
      <c r="O4" s="15">
        <f t="shared" si="0"/>
        <v>42266</v>
      </c>
      <c r="P4" s="56">
        <f t="shared" si="0"/>
        <v>42267</v>
      </c>
      <c r="Q4" s="57">
        <f t="shared" si="0"/>
        <v>42268</v>
      </c>
      <c r="R4" s="15">
        <f t="shared" si="0"/>
        <v>42269</v>
      </c>
      <c r="S4" s="15">
        <f t="shared" si="0"/>
        <v>42270</v>
      </c>
      <c r="T4" s="15">
        <f t="shared" si="0"/>
        <v>42271</v>
      </c>
      <c r="U4" s="15">
        <f t="shared" si="0"/>
        <v>42272</v>
      </c>
      <c r="V4" s="15">
        <f t="shared" si="0"/>
        <v>42273</v>
      </c>
      <c r="W4" s="15">
        <f t="shared" si="0"/>
        <v>42274</v>
      </c>
    </row>
    <row r="5" spans="1:23" ht="15.75" thickBot="1" x14ac:dyDescent="0.3">
      <c r="A5" s="6"/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  <c r="Q5" s="59">
        <v>15</v>
      </c>
      <c r="R5" s="4">
        <v>16</v>
      </c>
      <c r="S5" s="4">
        <v>17</v>
      </c>
      <c r="T5" s="4">
        <v>18</v>
      </c>
      <c r="U5" s="4">
        <v>19</v>
      </c>
      <c r="V5" s="4">
        <v>20</v>
      </c>
      <c r="W5" s="4">
        <v>21</v>
      </c>
    </row>
    <row r="6" spans="1:23" ht="15.75" thickBot="1" x14ac:dyDescent="0.3">
      <c r="A6" s="85" t="s">
        <v>40</v>
      </c>
      <c r="B6" s="17" t="str">
        <f xml:space="preserve"> CONCATENATE(Setup!$B$7, ", ", LEFT(Setup!$C$7,2))</f>
        <v>Nathan, NR</v>
      </c>
      <c r="C6" s="34">
        <v>0</v>
      </c>
      <c r="D6" s="33">
        <v>0</v>
      </c>
      <c r="E6" s="33">
        <v>0</v>
      </c>
      <c r="F6" s="33">
        <v>2</v>
      </c>
      <c r="G6" s="33">
        <v>0</v>
      </c>
      <c r="H6" s="33">
        <v>0</v>
      </c>
      <c r="I6" s="60">
        <v>0</v>
      </c>
      <c r="J6" s="61">
        <v>0</v>
      </c>
      <c r="K6" s="33">
        <v>1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  <c r="Q6" s="67">
        <v>0</v>
      </c>
      <c r="R6" s="35">
        <v>1</v>
      </c>
      <c r="S6" s="35">
        <v>0</v>
      </c>
      <c r="T6" s="35">
        <v>0</v>
      </c>
      <c r="U6" s="35">
        <v>0</v>
      </c>
      <c r="V6" s="35">
        <v>0</v>
      </c>
      <c r="W6" s="37">
        <v>0</v>
      </c>
    </row>
    <row r="7" spans="1:23" ht="16.5" thickTop="1" thickBot="1" x14ac:dyDescent="0.3">
      <c r="A7" s="85"/>
      <c r="B7" s="17" t="str">
        <f xml:space="preserve"> CONCATENATE(Setup!$B$8, ", ", LEFT(Setup!$C$8,2))</f>
        <v>Spencer, SS</v>
      </c>
      <c r="C7" s="34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60">
        <v>0</v>
      </c>
      <c r="J7" s="61">
        <v>0</v>
      </c>
      <c r="K7" s="33">
        <v>0.5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  <c r="Q7" s="68">
        <v>0</v>
      </c>
      <c r="R7" s="32">
        <v>0.5</v>
      </c>
      <c r="S7" s="32">
        <v>0</v>
      </c>
      <c r="T7" s="32">
        <v>0</v>
      </c>
      <c r="U7" s="32">
        <v>0</v>
      </c>
      <c r="V7" s="32">
        <v>0</v>
      </c>
      <c r="W7" s="38">
        <v>0</v>
      </c>
    </row>
    <row r="8" spans="1:23" ht="16.5" thickTop="1" thickBot="1" x14ac:dyDescent="0.3">
      <c r="A8" s="85"/>
      <c r="B8" s="17" t="str">
        <f xml:space="preserve"> CONCATENATE(Setup!$B$9, ", ", LEFT(Setup!$C$9,2))</f>
        <v>Dylan, DW</v>
      </c>
      <c r="C8" s="34">
        <v>0</v>
      </c>
      <c r="D8" s="33">
        <v>0</v>
      </c>
      <c r="E8" s="33">
        <v>0</v>
      </c>
      <c r="F8" s="33">
        <v>1</v>
      </c>
      <c r="G8" s="33">
        <v>0</v>
      </c>
      <c r="H8" s="33">
        <v>0</v>
      </c>
      <c r="I8" s="60">
        <v>0</v>
      </c>
      <c r="J8" s="61">
        <v>0</v>
      </c>
      <c r="K8" s="33">
        <v>0.5</v>
      </c>
      <c r="L8" s="33">
        <v>1</v>
      </c>
      <c r="M8" s="33">
        <v>0.25</v>
      </c>
      <c r="N8" s="33">
        <v>0</v>
      </c>
      <c r="O8" s="33">
        <v>0</v>
      </c>
      <c r="P8" s="60">
        <v>0</v>
      </c>
      <c r="Q8" s="68">
        <v>3</v>
      </c>
      <c r="R8" s="32">
        <v>0</v>
      </c>
      <c r="S8" s="32">
        <v>1</v>
      </c>
      <c r="T8" s="32">
        <v>0.5</v>
      </c>
      <c r="U8" s="32">
        <v>0</v>
      </c>
      <c r="V8" s="32">
        <v>0.5</v>
      </c>
      <c r="W8" s="38">
        <v>0</v>
      </c>
    </row>
    <row r="9" spans="1:23" ht="16.5" thickTop="1" thickBot="1" x14ac:dyDescent="0.3">
      <c r="A9" s="85"/>
      <c r="B9" s="17" t="e">
        <f xml:space="preserve"> CONCATENATE(Setup!#REF!, ", ", LEFT(Setup!#REF!,2))</f>
        <v>#REF!</v>
      </c>
      <c r="C9" s="34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60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  <c r="Q9" s="69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9">
        <v>0</v>
      </c>
    </row>
    <row r="10" spans="1:23" ht="16.5" thickBot="1" x14ac:dyDescent="0.3">
      <c r="A10" s="85"/>
      <c r="B10" s="18" t="s">
        <v>30</v>
      </c>
      <c r="C10" s="21">
        <f xml:space="preserve"> SUM(C6:C9)</f>
        <v>0</v>
      </c>
      <c r="D10" s="21">
        <f t="shared" ref="D10:W10" si="1" xml:space="preserve"> SUM(D6:D9)</f>
        <v>0</v>
      </c>
      <c r="E10" s="21">
        <f t="shared" si="1"/>
        <v>0</v>
      </c>
      <c r="F10" s="21">
        <f t="shared" si="1"/>
        <v>3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2</v>
      </c>
      <c r="L10" s="21">
        <f t="shared" si="1"/>
        <v>1</v>
      </c>
      <c r="M10" s="21">
        <f t="shared" si="1"/>
        <v>0.25</v>
      </c>
      <c r="N10" s="21">
        <f t="shared" si="1"/>
        <v>0</v>
      </c>
      <c r="O10" s="21">
        <f t="shared" si="1"/>
        <v>0</v>
      </c>
      <c r="P10" s="62">
        <f t="shared" si="1"/>
        <v>0</v>
      </c>
      <c r="Q10" s="63">
        <f t="shared" si="1"/>
        <v>3</v>
      </c>
      <c r="R10" s="21">
        <f t="shared" si="1"/>
        <v>1.5</v>
      </c>
      <c r="S10" s="21">
        <f t="shared" si="1"/>
        <v>1</v>
      </c>
      <c r="T10" s="21">
        <f t="shared" si="1"/>
        <v>0.5</v>
      </c>
      <c r="U10" s="21">
        <f t="shared" si="1"/>
        <v>0</v>
      </c>
      <c r="V10" s="21">
        <f t="shared" si="1"/>
        <v>0.5</v>
      </c>
      <c r="W10" s="21">
        <f t="shared" si="1"/>
        <v>0</v>
      </c>
    </row>
    <row r="11" spans="1:23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  <c r="Q11" s="63"/>
      <c r="R11" s="21"/>
      <c r="S11" s="21"/>
      <c r="T11" s="21"/>
      <c r="U11" s="21"/>
      <c r="V11" s="21"/>
      <c r="W11" s="21"/>
    </row>
    <row r="12" spans="1:23" ht="15.75" thickBot="1" x14ac:dyDescent="0.3">
      <c r="A12" s="85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W12" si="2" xml:space="preserve"> C$12 + D$6</f>
        <v>0</v>
      </c>
      <c r="E12" s="22">
        <f t="shared" si="2"/>
        <v>0</v>
      </c>
      <c r="F12" s="22">
        <f t="shared" si="2"/>
        <v>2</v>
      </c>
      <c r="G12" s="22">
        <f t="shared" si="2"/>
        <v>2</v>
      </c>
      <c r="H12" s="22">
        <f t="shared" si="2"/>
        <v>2</v>
      </c>
      <c r="I12" s="64">
        <f t="shared" si="2"/>
        <v>2</v>
      </c>
      <c r="J12" s="65">
        <f t="shared" si="2"/>
        <v>2</v>
      </c>
      <c r="K12" s="22">
        <f t="shared" si="2"/>
        <v>3</v>
      </c>
      <c r="L12" s="22">
        <f t="shared" si="2"/>
        <v>3</v>
      </c>
      <c r="M12" s="22">
        <f t="shared" si="2"/>
        <v>3</v>
      </c>
      <c r="N12" s="22">
        <f t="shared" si="2"/>
        <v>3</v>
      </c>
      <c r="O12" s="22">
        <f t="shared" si="2"/>
        <v>3</v>
      </c>
      <c r="P12" s="64">
        <f t="shared" si="2"/>
        <v>3</v>
      </c>
      <c r="Q12" s="65">
        <f t="shared" si="2"/>
        <v>3</v>
      </c>
      <c r="R12" s="22">
        <f t="shared" si="2"/>
        <v>4</v>
      </c>
      <c r="S12" s="22">
        <f t="shared" si="2"/>
        <v>4</v>
      </c>
      <c r="T12" s="22">
        <f t="shared" si="2"/>
        <v>4</v>
      </c>
      <c r="U12" s="22">
        <f t="shared" si="2"/>
        <v>4</v>
      </c>
      <c r="V12" s="22">
        <f t="shared" si="2"/>
        <v>4</v>
      </c>
      <c r="W12" s="22">
        <f t="shared" si="2"/>
        <v>4</v>
      </c>
    </row>
    <row r="13" spans="1:23" ht="15.75" thickBot="1" x14ac:dyDescent="0.3">
      <c r="A13" s="85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W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0.5</v>
      </c>
      <c r="L13" s="22">
        <f t="shared" si="3"/>
        <v>0.5</v>
      </c>
      <c r="M13" s="22">
        <f t="shared" si="3"/>
        <v>0.5</v>
      </c>
      <c r="N13" s="22">
        <f t="shared" si="3"/>
        <v>0.5</v>
      </c>
      <c r="O13" s="22">
        <f t="shared" si="3"/>
        <v>0.5</v>
      </c>
      <c r="P13" s="64">
        <f t="shared" si="3"/>
        <v>0.5</v>
      </c>
      <c r="Q13" s="65">
        <f t="shared" si="3"/>
        <v>0.5</v>
      </c>
      <c r="R13" s="22">
        <f t="shared" si="3"/>
        <v>1</v>
      </c>
      <c r="S13" s="22">
        <f t="shared" si="3"/>
        <v>1</v>
      </c>
      <c r="T13" s="22">
        <f t="shared" si="3"/>
        <v>1</v>
      </c>
      <c r="U13" s="22">
        <f t="shared" si="3"/>
        <v>1</v>
      </c>
      <c r="V13" s="22">
        <f t="shared" si="3"/>
        <v>1</v>
      </c>
      <c r="W13" s="22">
        <f t="shared" si="3"/>
        <v>1</v>
      </c>
    </row>
    <row r="14" spans="1:23" ht="15.75" thickBot="1" x14ac:dyDescent="0.3">
      <c r="A14" s="85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W14" si="4" xml:space="preserve"> C$14 + D$8</f>
        <v>0</v>
      </c>
      <c r="E14" s="22">
        <f t="shared" si="4"/>
        <v>0</v>
      </c>
      <c r="F14" s="22">
        <f t="shared" si="4"/>
        <v>1</v>
      </c>
      <c r="G14" s="22">
        <f t="shared" si="4"/>
        <v>1</v>
      </c>
      <c r="H14" s="22">
        <f t="shared" si="4"/>
        <v>1</v>
      </c>
      <c r="I14" s="64">
        <f t="shared" si="4"/>
        <v>1</v>
      </c>
      <c r="J14" s="65">
        <f t="shared" si="4"/>
        <v>1</v>
      </c>
      <c r="K14" s="22">
        <f t="shared" si="4"/>
        <v>1.5</v>
      </c>
      <c r="L14" s="22">
        <f t="shared" si="4"/>
        <v>2.5</v>
      </c>
      <c r="M14" s="22">
        <f t="shared" si="4"/>
        <v>2.75</v>
      </c>
      <c r="N14" s="22">
        <f t="shared" si="4"/>
        <v>2.75</v>
      </c>
      <c r="O14" s="22">
        <f t="shared" si="4"/>
        <v>2.75</v>
      </c>
      <c r="P14" s="64">
        <f t="shared" si="4"/>
        <v>2.75</v>
      </c>
      <c r="Q14" s="65">
        <f t="shared" si="4"/>
        <v>5.75</v>
      </c>
      <c r="R14" s="22">
        <f t="shared" si="4"/>
        <v>5.75</v>
      </c>
      <c r="S14" s="22">
        <f t="shared" si="4"/>
        <v>6.75</v>
      </c>
      <c r="T14" s="22">
        <f t="shared" si="4"/>
        <v>7.25</v>
      </c>
      <c r="U14" s="22">
        <f t="shared" si="4"/>
        <v>7.25</v>
      </c>
      <c r="V14" s="22">
        <f t="shared" si="4"/>
        <v>7.75</v>
      </c>
      <c r="W14" s="22">
        <f t="shared" si="4"/>
        <v>7.75</v>
      </c>
    </row>
    <row r="15" spans="1:23" ht="15.75" thickBot="1" x14ac:dyDescent="0.3">
      <c r="A15" s="85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W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  <c r="Q15" s="65">
        <f t="shared" si="5"/>
        <v>0</v>
      </c>
      <c r="R15" s="22">
        <f t="shared" si="5"/>
        <v>0</v>
      </c>
      <c r="S15" s="22">
        <f t="shared" si="5"/>
        <v>0</v>
      </c>
      <c r="T15" s="22">
        <f t="shared" si="5"/>
        <v>0</v>
      </c>
      <c r="U15" s="22">
        <f t="shared" si="5"/>
        <v>0</v>
      </c>
      <c r="V15" s="22">
        <f t="shared" si="5"/>
        <v>0</v>
      </c>
      <c r="W15" s="22">
        <f t="shared" si="5"/>
        <v>0</v>
      </c>
    </row>
    <row r="16" spans="1:23" ht="16.5" thickBot="1" x14ac:dyDescent="0.3">
      <c r="A16" s="85"/>
      <c r="B16" s="18" t="s">
        <v>30</v>
      </c>
      <c r="C16" s="21">
        <f xml:space="preserve"> SUM(C12:C15)</f>
        <v>0</v>
      </c>
      <c r="D16" s="21">
        <f t="shared" ref="D16:W16" si="6" xml:space="preserve"> SUM(D12:D15)</f>
        <v>0</v>
      </c>
      <c r="E16" s="21">
        <f t="shared" si="6"/>
        <v>0</v>
      </c>
      <c r="F16" s="21">
        <f t="shared" si="6"/>
        <v>3</v>
      </c>
      <c r="G16" s="21">
        <f t="shared" si="6"/>
        <v>3</v>
      </c>
      <c r="H16" s="21">
        <f t="shared" si="6"/>
        <v>3</v>
      </c>
      <c r="I16" s="62">
        <f t="shared" si="6"/>
        <v>3</v>
      </c>
      <c r="J16" s="63">
        <f t="shared" si="6"/>
        <v>3</v>
      </c>
      <c r="K16" s="21">
        <f t="shared" si="6"/>
        <v>5</v>
      </c>
      <c r="L16" s="21">
        <f t="shared" si="6"/>
        <v>6</v>
      </c>
      <c r="M16" s="21">
        <f t="shared" si="6"/>
        <v>6.25</v>
      </c>
      <c r="N16" s="21">
        <f t="shared" si="6"/>
        <v>6.25</v>
      </c>
      <c r="O16" s="21">
        <f t="shared" si="6"/>
        <v>6.25</v>
      </c>
      <c r="P16" s="62">
        <f t="shared" si="6"/>
        <v>6.25</v>
      </c>
      <c r="Q16" s="63">
        <f t="shared" si="6"/>
        <v>9.25</v>
      </c>
      <c r="R16" s="21">
        <f t="shared" si="6"/>
        <v>10.75</v>
      </c>
      <c r="S16" s="21">
        <f t="shared" si="6"/>
        <v>11.75</v>
      </c>
      <c r="T16" s="21">
        <f t="shared" si="6"/>
        <v>12.25</v>
      </c>
      <c r="U16" s="21">
        <f t="shared" si="6"/>
        <v>12.25</v>
      </c>
      <c r="V16" s="21">
        <f t="shared" si="6"/>
        <v>12.75</v>
      </c>
      <c r="W16" s="21">
        <f t="shared" si="6"/>
        <v>12.75</v>
      </c>
    </row>
    <row r="17" spans="1:23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  <c r="Q17" s="63"/>
      <c r="R17" s="21"/>
      <c r="S17" s="21"/>
      <c r="T17" s="21"/>
      <c r="U17" s="21"/>
      <c r="V17" s="21"/>
      <c r="W17" s="21"/>
    </row>
    <row r="18" spans="1:23" ht="15.75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60">
        <v>0</v>
      </c>
      <c r="J18" s="61">
        <v>0</v>
      </c>
      <c r="K18" s="33">
        <v>0</v>
      </c>
      <c r="L18" s="33">
        <v>0</v>
      </c>
      <c r="M18" s="33">
        <v>2</v>
      </c>
      <c r="N18" s="33">
        <v>2</v>
      </c>
      <c r="O18" s="33">
        <v>0</v>
      </c>
      <c r="P18" s="60">
        <v>0</v>
      </c>
      <c r="Q18" s="67">
        <v>0.5</v>
      </c>
      <c r="R18" s="35">
        <v>0</v>
      </c>
      <c r="S18" s="35">
        <v>0</v>
      </c>
      <c r="T18" s="35">
        <v>0</v>
      </c>
      <c r="U18" s="35">
        <v>0</v>
      </c>
      <c r="V18" s="35">
        <v>3</v>
      </c>
      <c r="W18" s="37">
        <v>0</v>
      </c>
    </row>
    <row r="19" spans="1:23" ht="16.5" thickTop="1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3">
        <v>0.33</v>
      </c>
      <c r="E19" s="33">
        <v>1</v>
      </c>
      <c r="F19" s="33">
        <v>1.33</v>
      </c>
      <c r="G19" s="33">
        <v>0</v>
      </c>
      <c r="H19" s="33">
        <v>0</v>
      </c>
      <c r="I19" s="60">
        <v>0</v>
      </c>
      <c r="J19" s="61">
        <v>0</v>
      </c>
      <c r="K19" s="33">
        <v>2.5</v>
      </c>
      <c r="L19" s="33">
        <v>2</v>
      </c>
      <c r="M19" s="33">
        <v>1.5</v>
      </c>
      <c r="N19" s="33">
        <v>0</v>
      </c>
      <c r="O19" s="33">
        <v>0</v>
      </c>
      <c r="P19" s="60">
        <v>2.5</v>
      </c>
      <c r="Q19" s="68">
        <v>1.9</v>
      </c>
      <c r="R19" s="32">
        <v>0.5</v>
      </c>
      <c r="S19" s="32">
        <v>1</v>
      </c>
      <c r="T19" s="32">
        <v>1.5</v>
      </c>
      <c r="U19" s="32">
        <v>0</v>
      </c>
      <c r="V19" s="32">
        <v>0</v>
      </c>
      <c r="W19" s="38">
        <v>0</v>
      </c>
    </row>
    <row r="20" spans="1:23" ht="16.5" thickTop="1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3">
        <v>0.25</v>
      </c>
      <c r="E20" s="33">
        <v>0</v>
      </c>
      <c r="F20" s="33">
        <v>0</v>
      </c>
      <c r="G20" s="33">
        <v>0</v>
      </c>
      <c r="H20" s="33">
        <v>0</v>
      </c>
      <c r="I20" s="60">
        <v>0</v>
      </c>
      <c r="J20" s="61">
        <v>0</v>
      </c>
      <c r="K20" s="33">
        <v>0</v>
      </c>
      <c r="L20" s="33">
        <v>1</v>
      </c>
      <c r="M20" s="33">
        <v>0.25</v>
      </c>
      <c r="N20" s="33">
        <v>0</v>
      </c>
      <c r="O20" s="33">
        <v>0</v>
      </c>
      <c r="P20" s="60">
        <v>0</v>
      </c>
      <c r="Q20" s="68">
        <v>1</v>
      </c>
      <c r="R20" s="32">
        <v>2</v>
      </c>
      <c r="S20" s="32">
        <v>0</v>
      </c>
      <c r="T20" s="32">
        <v>0.5</v>
      </c>
      <c r="U20" s="32">
        <v>0</v>
      </c>
      <c r="V20" s="32">
        <v>0.5</v>
      </c>
      <c r="W20" s="38">
        <v>0</v>
      </c>
    </row>
    <row r="21" spans="1:23" ht="16.5" thickTop="1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60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  <c r="Q21" s="69">
        <v>0</v>
      </c>
      <c r="R21" s="36">
        <v>0</v>
      </c>
      <c r="S21" s="36">
        <v>0</v>
      </c>
      <c r="T21" s="36">
        <v>0</v>
      </c>
      <c r="U21" s="36">
        <v>0</v>
      </c>
      <c r="V21" s="36">
        <v>0</v>
      </c>
      <c r="W21" s="39">
        <v>0</v>
      </c>
    </row>
    <row r="22" spans="1:23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W22" si="7" xml:space="preserve"> SUM(D18:D21)</f>
        <v>0.58000000000000007</v>
      </c>
      <c r="E22" s="21">
        <f t="shared" si="7"/>
        <v>1</v>
      </c>
      <c r="F22" s="21">
        <f t="shared" si="7"/>
        <v>1.33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2.5</v>
      </c>
      <c r="L22" s="21">
        <f t="shared" si="7"/>
        <v>3</v>
      </c>
      <c r="M22" s="21">
        <f t="shared" si="7"/>
        <v>3.75</v>
      </c>
      <c r="N22" s="21">
        <f t="shared" si="7"/>
        <v>2</v>
      </c>
      <c r="O22" s="21">
        <f t="shared" si="7"/>
        <v>0</v>
      </c>
      <c r="P22" s="62">
        <f t="shared" si="7"/>
        <v>2.5</v>
      </c>
      <c r="Q22" s="63">
        <f t="shared" si="7"/>
        <v>3.4</v>
      </c>
      <c r="R22" s="21">
        <f t="shared" si="7"/>
        <v>2.5</v>
      </c>
      <c r="S22" s="21">
        <f t="shared" si="7"/>
        <v>1</v>
      </c>
      <c r="T22" s="21">
        <f t="shared" si="7"/>
        <v>2</v>
      </c>
      <c r="U22" s="21">
        <f t="shared" si="7"/>
        <v>0</v>
      </c>
      <c r="V22" s="21">
        <f t="shared" si="7"/>
        <v>3.5</v>
      </c>
      <c r="W22" s="21">
        <f t="shared" si="7"/>
        <v>0</v>
      </c>
    </row>
    <row r="23" spans="1:23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  <c r="Q23" s="63"/>
      <c r="R23" s="21"/>
      <c r="S23" s="21"/>
      <c r="T23" s="21"/>
      <c r="U23" s="21"/>
      <c r="V23" s="21"/>
      <c r="W23" s="21"/>
    </row>
    <row r="24" spans="1:23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I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ref="J24:W24" si="9" xml:space="preserve"> I$24 + J$18</f>
        <v>0</v>
      </c>
      <c r="K24" s="22">
        <f t="shared" si="9"/>
        <v>0</v>
      </c>
      <c r="L24" s="22">
        <f t="shared" si="9"/>
        <v>0</v>
      </c>
      <c r="M24" s="22">
        <f t="shared" si="9"/>
        <v>2</v>
      </c>
      <c r="N24" s="22">
        <f t="shared" si="9"/>
        <v>4</v>
      </c>
      <c r="O24" s="22">
        <f t="shared" si="9"/>
        <v>4</v>
      </c>
      <c r="P24" s="64">
        <f t="shared" si="9"/>
        <v>4</v>
      </c>
      <c r="Q24" s="65">
        <f t="shared" si="9"/>
        <v>4.5</v>
      </c>
      <c r="R24" s="22">
        <f t="shared" si="9"/>
        <v>4.5</v>
      </c>
      <c r="S24" s="22">
        <f t="shared" si="9"/>
        <v>4.5</v>
      </c>
      <c r="T24" s="22">
        <f t="shared" si="9"/>
        <v>4.5</v>
      </c>
      <c r="U24" s="22">
        <f t="shared" si="9"/>
        <v>4.5</v>
      </c>
      <c r="V24" s="22">
        <f t="shared" si="9"/>
        <v>7.5</v>
      </c>
      <c r="W24" s="22">
        <f t="shared" si="9"/>
        <v>7.5</v>
      </c>
    </row>
    <row r="25" spans="1:23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0.33</v>
      </c>
      <c r="E25" s="22">
        <f t="shared" ref="E25:I25" si="10" xml:space="preserve"> D$25 + E$19</f>
        <v>1.33</v>
      </c>
      <c r="F25" s="22">
        <f t="shared" si="10"/>
        <v>2.66</v>
      </c>
      <c r="G25" s="22">
        <f t="shared" si="10"/>
        <v>2.66</v>
      </c>
      <c r="H25" s="22">
        <f t="shared" si="10"/>
        <v>2.66</v>
      </c>
      <c r="I25" s="64">
        <f t="shared" si="10"/>
        <v>2.66</v>
      </c>
      <c r="J25" s="65">
        <f t="shared" ref="J25:W25" si="11" xml:space="preserve"> I$25 + J$19</f>
        <v>2.66</v>
      </c>
      <c r="K25" s="22">
        <f t="shared" si="11"/>
        <v>5.16</v>
      </c>
      <c r="L25" s="22">
        <f t="shared" si="11"/>
        <v>7.16</v>
      </c>
      <c r="M25" s="22">
        <f t="shared" si="11"/>
        <v>8.66</v>
      </c>
      <c r="N25" s="22">
        <f t="shared" si="11"/>
        <v>8.66</v>
      </c>
      <c r="O25" s="22">
        <f t="shared" si="11"/>
        <v>8.66</v>
      </c>
      <c r="P25" s="64">
        <f t="shared" si="11"/>
        <v>11.16</v>
      </c>
      <c r="Q25" s="65">
        <f t="shared" si="11"/>
        <v>13.06</v>
      </c>
      <c r="R25" s="22">
        <f t="shared" si="11"/>
        <v>13.56</v>
      </c>
      <c r="S25" s="22">
        <f t="shared" si="11"/>
        <v>14.56</v>
      </c>
      <c r="T25" s="22">
        <f t="shared" si="11"/>
        <v>16.060000000000002</v>
      </c>
      <c r="U25" s="22">
        <f t="shared" si="11"/>
        <v>16.060000000000002</v>
      </c>
      <c r="V25" s="22">
        <f t="shared" si="11"/>
        <v>16.060000000000002</v>
      </c>
      <c r="W25" s="22">
        <f t="shared" si="11"/>
        <v>16.060000000000002</v>
      </c>
    </row>
    <row r="26" spans="1:23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0.25</v>
      </c>
      <c r="E26" s="22">
        <f t="shared" ref="E26:I26" si="12" xml:space="preserve"> D$26 + E$20</f>
        <v>0.25</v>
      </c>
      <c r="F26" s="22">
        <f t="shared" si="12"/>
        <v>0.25</v>
      </c>
      <c r="G26" s="22">
        <f t="shared" si="12"/>
        <v>0.25</v>
      </c>
      <c r="H26" s="22">
        <f t="shared" si="12"/>
        <v>0.25</v>
      </c>
      <c r="I26" s="64">
        <f t="shared" si="12"/>
        <v>0.25</v>
      </c>
      <c r="J26" s="65">
        <f t="shared" ref="J26:W26" si="13" xml:space="preserve"> I$26 + J$20</f>
        <v>0.25</v>
      </c>
      <c r="K26" s="22">
        <f t="shared" si="13"/>
        <v>0.25</v>
      </c>
      <c r="L26" s="22">
        <f t="shared" si="13"/>
        <v>1.25</v>
      </c>
      <c r="M26" s="22">
        <f t="shared" si="13"/>
        <v>1.5</v>
      </c>
      <c r="N26" s="22">
        <f t="shared" si="13"/>
        <v>1.5</v>
      </c>
      <c r="O26" s="22">
        <f t="shared" si="13"/>
        <v>1.5</v>
      </c>
      <c r="P26" s="64">
        <f t="shared" si="13"/>
        <v>1.5</v>
      </c>
      <c r="Q26" s="65">
        <f t="shared" si="13"/>
        <v>2.5</v>
      </c>
      <c r="R26" s="22">
        <f t="shared" si="13"/>
        <v>4.5</v>
      </c>
      <c r="S26" s="22">
        <f t="shared" si="13"/>
        <v>4.5</v>
      </c>
      <c r="T26" s="22">
        <f t="shared" si="13"/>
        <v>5</v>
      </c>
      <c r="U26" s="22">
        <f t="shared" si="13"/>
        <v>5</v>
      </c>
      <c r="V26" s="22">
        <f t="shared" si="13"/>
        <v>5.5</v>
      </c>
      <c r="W26" s="22">
        <f t="shared" si="13"/>
        <v>5.5</v>
      </c>
    </row>
    <row r="27" spans="1:23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I27" si="14" xml:space="preserve"> D$27 + E$21</f>
        <v>0</v>
      </c>
      <c r="F27" s="22">
        <f t="shared" si="14"/>
        <v>0</v>
      </c>
      <c r="G27" s="22">
        <f t="shared" si="14"/>
        <v>0</v>
      </c>
      <c r="H27" s="22">
        <f t="shared" si="14"/>
        <v>0</v>
      </c>
      <c r="I27" s="64">
        <f t="shared" si="14"/>
        <v>0</v>
      </c>
      <c r="J27" s="65">
        <f t="shared" ref="J27:W27" si="15" xml:space="preserve"> I$27 + J$21</f>
        <v>0</v>
      </c>
      <c r="K27" s="22">
        <f t="shared" si="15"/>
        <v>0</v>
      </c>
      <c r="L27" s="22">
        <f t="shared" si="15"/>
        <v>0</v>
      </c>
      <c r="M27" s="22">
        <f t="shared" si="15"/>
        <v>0</v>
      </c>
      <c r="N27" s="22">
        <f t="shared" si="15"/>
        <v>0</v>
      </c>
      <c r="O27" s="22">
        <f t="shared" si="15"/>
        <v>0</v>
      </c>
      <c r="P27" s="64">
        <f t="shared" si="15"/>
        <v>0</v>
      </c>
      <c r="Q27" s="65">
        <f t="shared" si="15"/>
        <v>0</v>
      </c>
      <c r="R27" s="22">
        <f t="shared" si="15"/>
        <v>0</v>
      </c>
      <c r="S27" s="22">
        <f t="shared" si="15"/>
        <v>0</v>
      </c>
      <c r="T27" s="22">
        <f t="shared" si="15"/>
        <v>0</v>
      </c>
      <c r="U27" s="22">
        <f t="shared" si="15"/>
        <v>0</v>
      </c>
      <c r="V27" s="22">
        <f t="shared" si="15"/>
        <v>0</v>
      </c>
      <c r="W27" s="22">
        <f t="shared" si="15"/>
        <v>0</v>
      </c>
    </row>
    <row r="28" spans="1:23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W28" si="16" xml:space="preserve"> SUM(D24:D27)</f>
        <v>0.58000000000000007</v>
      </c>
      <c r="E28" s="21">
        <f t="shared" si="16"/>
        <v>1.58</v>
      </c>
      <c r="F28" s="21">
        <f t="shared" si="16"/>
        <v>2.91</v>
      </c>
      <c r="G28" s="21">
        <f t="shared" si="16"/>
        <v>2.91</v>
      </c>
      <c r="H28" s="21">
        <f t="shared" si="16"/>
        <v>2.91</v>
      </c>
      <c r="I28" s="62">
        <f t="shared" si="16"/>
        <v>2.91</v>
      </c>
      <c r="J28" s="63">
        <f t="shared" si="16"/>
        <v>2.91</v>
      </c>
      <c r="K28" s="21">
        <f t="shared" si="16"/>
        <v>5.41</v>
      </c>
      <c r="L28" s="21">
        <f t="shared" si="16"/>
        <v>8.41</v>
      </c>
      <c r="M28" s="21">
        <f t="shared" si="16"/>
        <v>12.16</v>
      </c>
      <c r="N28" s="21">
        <f t="shared" si="16"/>
        <v>14.16</v>
      </c>
      <c r="O28" s="21">
        <f t="shared" si="16"/>
        <v>14.16</v>
      </c>
      <c r="P28" s="62">
        <f t="shared" si="16"/>
        <v>16.66</v>
      </c>
      <c r="Q28" s="63">
        <f t="shared" si="16"/>
        <v>20.060000000000002</v>
      </c>
      <c r="R28" s="21">
        <f t="shared" si="16"/>
        <v>22.560000000000002</v>
      </c>
      <c r="S28" s="21">
        <f t="shared" si="16"/>
        <v>23.560000000000002</v>
      </c>
      <c r="T28" s="21">
        <f t="shared" si="16"/>
        <v>25.560000000000002</v>
      </c>
      <c r="U28" s="21">
        <f t="shared" si="16"/>
        <v>25.560000000000002</v>
      </c>
      <c r="V28" s="21">
        <f t="shared" si="16"/>
        <v>29.060000000000002</v>
      </c>
      <c r="W28" s="21">
        <f t="shared" si="16"/>
        <v>29.060000000000002</v>
      </c>
    </row>
    <row r="29" spans="1:23" ht="16.5" thickBot="1" x14ac:dyDescent="0.3">
      <c r="A29" s="19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  <c r="Q29" s="63"/>
      <c r="R29" s="21"/>
      <c r="S29" s="21"/>
      <c r="T29" s="21"/>
      <c r="U29" s="21"/>
      <c r="V29" s="21"/>
      <c r="W29" s="21"/>
    </row>
    <row r="30" spans="1:23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W30" si="17" xml:space="preserve"> (E$12 + E$24) / E$5</f>
        <v>0</v>
      </c>
      <c r="F30" s="22">
        <f t="shared" si="17"/>
        <v>0.5</v>
      </c>
      <c r="G30" s="22">
        <f t="shared" si="17"/>
        <v>0.4</v>
      </c>
      <c r="H30" s="22">
        <f t="shared" si="17"/>
        <v>0.33333333333333331</v>
      </c>
      <c r="I30" s="64">
        <f t="shared" si="17"/>
        <v>0.2857142857142857</v>
      </c>
      <c r="J30" s="65">
        <f t="shared" si="17"/>
        <v>0.25</v>
      </c>
      <c r="K30" s="22">
        <f t="shared" si="17"/>
        <v>0.33333333333333331</v>
      </c>
      <c r="L30" s="22">
        <f t="shared" si="17"/>
        <v>0.3</v>
      </c>
      <c r="M30" s="22">
        <f t="shared" si="17"/>
        <v>0.45454545454545453</v>
      </c>
      <c r="N30" s="22">
        <f t="shared" si="17"/>
        <v>0.58333333333333337</v>
      </c>
      <c r="O30" s="22">
        <f t="shared" si="17"/>
        <v>0.53846153846153844</v>
      </c>
      <c r="P30" s="64">
        <f t="shared" si="17"/>
        <v>0.5</v>
      </c>
      <c r="Q30" s="65">
        <f t="shared" si="17"/>
        <v>0.5</v>
      </c>
      <c r="R30" s="22">
        <f t="shared" si="17"/>
        <v>0.53125</v>
      </c>
      <c r="S30" s="22">
        <f t="shared" si="17"/>
        <v>0.5</v>
      </c>
      <c r="T30" s="22">
        <f t="shared" si="17"/>
        <v>0.47222222222222221</v>
      </c>
      <c r="U30" s="22">
        <f t="shared" si="17"/>
        <v>0.44736842105263158</v>
      </c>
      <c r="V30" s="22">
        <f t="shared" si="17"/>
        <v>0.57499999999999996</v>
      </c>
      <c r="W30" s="22">
        <f t="shared" si="17"/>
        <v>0.54761904761904767</v>
      </c>
    </row>
    <row r="31" spans="1:23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0.16500000000000001</v>
      </c>
      <c r="E31" s="22">
        <f t="shared" ref="E31:W31" si="18" xml:space="preserve"> (E$13 + E$25) / E$5</f>
        <v>0.44333333333333336</v>
      </c>
      <c r="F31" s="22">
        <f t="shared" si="18"/>
        <v>0.66500000000000004</v>
      </c>
      <c r="G31" s="22">
        <f t="shared" si="18"/>
        <v>0.53200000000000003</v>
      </c>
      <c r="H31" s="22">
        <f t="shared" si="18"/>
        <v>0.44333333333333336</v>
      </c>
      <c r="I31" s="64">
        <f t="shared" si="18"/>
        <v>0.38</v>
      </c>
      <c r="J31" s="65">
        <f t="shared" si="18"/>
        <v>0.33250000000000002</v>
      </c>
      <c r="K31" s="22">
        <f t="shared" si="18"/>
        <v>0.62888888888888894</v>
      </c>
      <c r="L31" s="22">
        <f t="shared" si="18"/>
        <v>0.76600000000000001</v>
      </c>
      <c r="M31" s="22">
        <f t="shared" si="18"/>
        <v>0.83272727272727276</v>
      </c>
      <c r="N31" s="22">
        <f t="shared" si="18"/>
        <v>0.76333333333333331</v>
      </c>
      <c r="O31" s="22">
        <f t="shared" si="18"/>
        <v>0.70461538461538464</v>
      </c>
      <c r="P31" s="64">
        <f t="shared" si="18"/>
        <v>0.83285714285714285</v>
      </c>
      <c r="Q31" s="65">
        <f t="shared" si="18"/>
        <v>0.90400000000000003</v>
      </c>
      <c r="R31" s="22">
        <f t="shared" si="18"/>
        <v>0.91</v>
      </c>
      <c r="S31" s="22">
        <f t="shared" si="18"/>
        <v>0.91529411764705881</v>
      </c>
      <c r="T31" s="22">
        <f t="shared" si="18"/>
        <v>0.94777777777777794</v>
      </c>
      <c r="U31" s="22">
        <f t="shared" si="18"/>
        <v>0.89789473684210541</v>
      </c>
      <c r="V31" s="22">
        <f t="shared" si="18"/>
        <v>0.85300000000000009</v>
      </c>
      <c r="W31" s="22">
        <f t="shared" si="18"/>
        <v>0.81238095238095254</v>
      </c>
    </row>
    <row r="32" spans="1:23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0.125</v>
      </c>
      <c r="E32" s="22">
        <f t="shared" ref="E32:W32" si="19" xml:space="preserve"> (E$14 + E$26) / E$5</f>
        <v>8.3333333333333329E-2</v>
      </c>
      <c r="F32" s="22">
        <f t="shared" si="19"/>
        <v>0.3125</v>
      </c>
      <c r="G32" s="22">
        <f t="shared" si="19"/>
        <v>0.25</v>
      </c>
      <c r="H32" s="22">
        <f t="shared" si="19"/>
        <v>0.20833333333333334</v>
      </c>
      <c r="I32" s="64">
        <f t="shared" si="19"/>
        <v>0.17857142857142858</v>
      </c>
      <c r="J32" s="65">
        <f t="shared" si="19"/>
        <v>0.15625</v>
      </c>
      <c r="K32" s="22">
        <f t="shared" si="19"/>
        <v>0.19444444444444445</v>
      </c>
      <c r="L32" s="22">
        <f t="shared" si="19"/>
        <v>0.375</v>
      </c>
      <c r="M32" s="22">
        <f t="shared" si="19"/>
        <v>0.38636363636363635</v>
      </c>
      <c r="N32" s="22">
        <f t="shared" si="19"/>
        <v>0.35416666666666669</v>
      </c>
      <c r="O32" s="22">
        <f t="shared" si="19"/>
        <v>0.32692307692307693</v>
      </c>
      <c r="P32" s="64">
        <f t="shared" si="19"/>
        <v>0.30357142857142855</v>
      </c>
      <c r="Q32" s="65">
        <f t="shared" si="19"/>
        <v>0.55000000000000004</v>
      </c>
      <c r="R32" s="22">
        <f t="shared" si="19"/>
        <v>0.640625</v>
      </c>
      <c r="S32" s="22">
        <f t="shared" si="19"/>
        <v>0.66176470588235292</v>
      </c>
      <c r="T32" s="22">
        <f t="shared" si="19"/>
        <v>0.68055555555555558</v>
      </c>
      <c r="U32" s="22">
        <f t="shared" si="19"/>
        <v>0.64473684210526316</v>
      </c>
      <c r="V32" s="22">
        <f t="shared" si="19"/>
        <v>0.66249999999999998</v>
      </c>
      <c r="W32" s="22">
        <f t="shared" si="19"/>
        <v>0.63095238095238093</v>
      </c>
    </row>
    <row r="33" spans="1:23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W33" si="20" xml:space="preserve"> (E$15 + E$27) / E$5</f>
        <v>0</v>
      </c>
      <c r="F33" s="22">
        <f t="shared" si="20"/>
        <v>0</v>
      </c>
      <c r="G33" s="22">
        <f t="shared" si="20"/>
        <v>0</v>
      </c>
      <c r="H33" s="22">
        <f t="shared" si="20"/>
        <v>0</v>
      </c>
      <c r="I33" s="64">
        <f t="shared" si="20"/>
        <v>0</v>
      </c>
      <c r="J33" s="65">
        <f t="shared" si="20"/>
        <v>0</v>
      </c>
      <c r="K33" s="22">
        <f t="shared" si="20"/>
        <v>0</v>
      </c>
      <c r="L33" s="22">
        <f t="shared" si="20"/>
        <v>0</v>
      </c>
      <c r="M33" s="22">
        <f t="shared" si="20"/>
        <v>0</v>
      </c>
      <c r="N33" s="22">
        <f t="shared" si="20"/>
        <v>0</v>
      </c>
      <c r="O33" s="22">
        <f t="shared" si="20"/>
        <v>0</v>
      </c>
      <c r="P33" s="64">
        <f t="shared" si="20"/>
        <v>0</v>
      </c>
      <c r="Q33" s="65">
        <f t="shared" si="20"/>
        <v>0</v>
      </c>
      <c r="R33" s="22">
        <f t="shared" si="20"/>
        <v>0</v>
      </c>
      <c r="S33" s="22">
        <f t="shared" si="20"/>
        <v>0</v>
      </c>
      <c r="T33" s="22">
        <f t="shared" si="20"/>
        <v>0</v>
      </c>
      <c r="U33" s="22">
        <f t="shared" si="20"/>
        <v>0</v>
      </c>
      <c r="V33" s="22">
        <f t="shared" si="20"/>
        <v>0</v>
      </c>
      <c r="W33" s="22">
        <f t="shared" si="20"/>
        <v>0</v>
      </c>
    </row>
    <row r="34" spans="1:23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W34" si="21" xml:space="preserve"> SUM(D30:D33)</f>
        <v>0.29000000000000004</v>
      </c>
      <c r="E34" s="21">
        <f t="shared" si="21"/>
        <v>0.52666666666666673</v>
      </c>
      <c r="F34" s="21">
        <f t="shared" si="21"/>
        <v>1.4775</v>
      </c>
      <c r="G34" s="21">
        <f t="shared" si="21"/>
        <v>1.1819999999999999</v>
      </c>
      <c r="H34" s="21">
        <f t="shared" si="21"/>
        <v>0.98499999999999999</v>
      </c>
      <c r="I34" s="62">
        <f t="shared" si="21"/>
        <v>0.84428571428571431</v>
      </c>
      <c r="J34" s="63">
        <f t="shared" si="21"/>
        <v>0.73875000000000002</v>
      </c>
      <c r="K34" s="21">
        <f t="shared" si="21"/>
        <v>1.1566666666666667</v>
      </c>
      <c r="L34" s="21">
        <f t="shared" si="21"/>
        <v>1.4410000000000001</v>
      </c>
      <c r="M34" s="21">
        <f t="shared" si="21"/>
        <v>1.6736363636363638</v>
      </c>
      <c r="N34" s="21">
        <f t="shared" si="21"/>
        <v>1.7008333333333334</v>
      </c>
      <c r="O34" s="21">
        <f t="shared" si="21"/>
        <v>1.57</v>
      </c>
      <c r="P34" s="62">
        <f t="shared" si="21"/>
        <v>1.6364285714285713</v>
      </c>
      <c r="Q34" s="63">
        <f t="shared" si="21"/>
        <v>1.954</v>
      </c>
      <c r="R34" s="21">
        <f t="shared" si="21"/>
        <v>2.0818750000000001</v>
      </c>
      <c r="S34" s="21">
        <f t="shared" si="21"/>
        <v>2.0770588235294118</v>
      </c>
      <c r="T34" s="21">
        <f t="shared" si="21"/>
        <v>2.1005555555555557</v>
      </c>
      <c r="U34" s="21">
        <f t="shared" si="21"/>
        <v>1.9900000000000002</v>
      </c>
      <c r="V34" s="21">
        <f t="shared" si="21"/>
        <v>2.0905</v>
      </c>
      <c r="W34" s="21">
        <f t="shared" si="21"/>
        <v>1.9909523809523813</v>
      </c>
    </row>
    <row r="35" spans="1:23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</row>
    <row r="36" spans="1:23" ht="15.75" thickBot="1" x14ac:dyDescent="0.3">
      <c r="B36" s="1" t="s">
        <v>31</v>
      </c>
      <c r="C36" s="24">
        <v>1</v>
      </c>
      <c r="D36" s="24">
        <v>2</v>
      </c>
      <c r="E36" s="24">
        <v>3</v>
      </c>
      <c r="F36" s="24" t="s">
        <v>35</v>
      </c>
    </row>
    <row r="37" spans="1:23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2</v>
      </c>
      <c r="D37" s="25">
        <f xml:space="preserve"> SUM(J6:P6) + SUM(J18:P18)</f>
        <v>5</v>
      </c>
      <c r="E37" s="25">
        <f xml:space="preserve"> SUM(Q6:W6) + SUM(Q18:W18)</f>
        <v>4.5</v>
      </c>
      <c r="F37" s="25">
        <f xml:space="preserve"> SUM(C37:E37)</f>
        <v>11.5</v>
      </c>
    </row>
    <row r="38" spans="1:23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22" xml:space="preserve"> SUM(C7:I7) + SUM(C19:I19)</f>
        <v>2.66</v>
      </c>
      <c r="D38" s="25">
        <f t="shared" ref="D38:D40" si="23" xml:space="preserve"> SUM(J7:P7) + SUM(J19:P19)</f>
        <v>9</v>
      </c>
      <c r="E38" s="25">
        <f t="shared" ref="E38:E40" si="24" xml:space="preserve"> SUM(Q7:W7) + SUM(Q19:W19)</f>
        <v>5.4</v>
      </c>
      <c r="F38" s="25">
        <f t="shared" ref="F38:F41" si="25" xml:space="preserve"> SUM(C38:E38)</f>
        <v>17.060000000000002</v>
      </c>
    </row>
    <row r="39" spans="1:23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22"/>
        <v>1.25</v>
      </c>
      <c r="D39" s="25">
        <f t="shared" si="23"/>
        <v>3</v>
      </c>
      <c r="E39" s="25">
        <f t="shared" si="24"/>
        <v>9</v>
      </c>
      <c r="F39" s="25">
        <f t="shared" si="25"/>
        <v>13.25</v>
      </c>
    </row>
    <row r="40" spans="1:23" ht="15.75" thickBot="1" x14ac:dyDescent="0.3">
      <c r="A40" s="81"/>
      <c r="B40" s="17" t="e">
        <f xml:space="preserve"> CONCATENATE(Setup!#REF!, ", ", LEFT(Setup!#REF!,2))</f>
        <v>#REF!</v>
      </c>
      <c r="C40" s="25">
        <f t="shared" si="22"/>
        <v>0</v>
      </c>
      <c r="D40" s="25">
        <f t="shared" si="23"/>
        <v>0</v>
      </c>
      <c r="E40" s="25">
        <f t="shared" si="24"/>
        <v>0</v>
      </c>
      <c r="F40" s="25">
        <f t="shared" si="25"/>
        <v>0</v>
      </c>
    </row>
    <row r="41" spans="1:23" ht="16.5" thickBot="1" x14ac:dyDescent="0.3">
      <c r="A41" s="81"/>
      <c r="B41" s="18" t="s">
        <v>30</v>
      </c>
      <c r="C41" s="21">
        <f xml:space="preserve"> SUM(C37:C40)</f>
        <v>5.91</v>
      </c>
      <c r="D41" s="21">
        <f t="shared" ref="D41:E41" si="26" xml:space="preserve"> SUM(D37:D40)</f>
        <v>17</v>
      </c>
      <c r="E41" s="21">
        <f t="shared" si="26"/>
        <v>18.899999999999999</v>
      </c>
      <c r="F41" s="21">
        <f t="shared" si="25"/>
        <v>41.81</v>
      </c>
    </row>
    <row r="42" spans="1:23" ht="15.75" thickBot="1" x14ac:dyDescent="0.3">
      <c r="A42" s="19"/>
    </row>
    <row r="43" spans="1:23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C36</f>
        <v>2</v>
      </c>
      <c r="D43" s="25">
        <f xml:space="preserve"> SUM(C37:D37) / D$36</f>
        <v>3.5</v>
      </c>
      <c r="E43" s="25">
        <f xml:space="preserve"> SUM(C37:E37) / E$36</f>
        <v>3.8333333333333335</v>
      </c>
    </row>
    <row r="44" spans="1:23" ht="15.75" thickBot="1" x14ac:dyDescent="0.3">
      <c r="A44" s="81"/>
      <c r="B44" s="17" t="str">
        <f xml:space="preserve"> CONCATENATE(Setup!$B$8, ", ", LEFT(Setup!$C$8,2))</f>
        <v>Spencer, SS</v>
      </c>
      <c r="C44" s="25">
        <f xml:space="preserve"> C38 / C36</f>
        <v>2.66</v>
      </c>
      <c r="D44" s="25">
        <f t="shared" ref="D44:D46" si="27" xml:space="preserve"> SUM(C38:D38) / D$36</f>
        <v>5.83</v>
      </c>
      <c r="E44" s="25">
        <f t="shared" ref="E44:E46" si="28" xml:space="preserve"> SUM(C38:E38) / E$36</f>
        <v>5.6866666666666674</v>
      </c>
    </row>
    <row r="45" spans="1:23" ht="15.75" thickBot="1" x14ac:dyDescent="0.3">
      <c r="A45" s="81"/>
      <c r="B45" s="17" t="str">
        <f xml:space="preserve"> CONCATENATE(Setup!$B$9, ", ", LEFT(Setup!$C$9,2))</f>
        <v>Dylan, DW</v>
      </c>
      <c r="C45" s="25">
        <f xml:space="preserve"> C39 / C36</f>
        <v>1.25</v>
      </c>
      <c r="D45" s="25">
        <f t="shared" si="27"/>
        <v>2.125</v>
      </c>
      <c r="E45" s="25">
        <f t="shared" si="28"/>
        <v>4.416666666666667</v>
      </c>
    </row>
    <row r="46" spans="1:23" ht="15.75" thickBot="1" x14ac:dyDescent="0.3">
      <c r="A46" s="81"/>
      <c r="B46" s="17" t="e">
        <f xml:space="preserve"> CONCATENATE(Setup!#REF!, ", ", LEFT(Setup!#REF!,2))</f>
        <v>#REF!</v>
      </c>
      <c r="C46" s="25">
        <f xml:space="preserve"> C40 / C36</f>
        <v>0</v>
      </c>
      <c r="D46" s="25">
        <f t="shared" si="27"/>
        <v>0</v>
      </c>
      <c r="E46" s="25">
        <f t="shared" si="28"/>
        <v>0</v>
      </c>
    </row>
    <row r="47" spans="1:23" ht="16.5" thickBot="1" x14ac:dyDescent="0.3">
      <c r="A47" s="81"/>
      <c r="B47" s="18" t="s">
        <v>30</v>
      </c>
      <c r="C47" s="21">
        <f xml:space="preserve"> SUM(C43:C46)</f>
        <v>5.91</v>
      </c>
      <c r="D47" s="21">
        <f t="shared" ref="D47:E47" si="29" xml:space="preserve"> SUM(D43:D46)</f>
        <v>11.455</v>
      </c>
      <c r="E47" s="21">
        <f t="shared" si="29"/>
        <v>13.936666666666667</v>
      </c>
    </row>
  </sheetData>
  <mergeCells count="10">
    <mergeCell ref="A37:A41"/>
    <mergeCell ref="A43:A47"/>
    <mergeCell ref="C3:I3"/>
    <mergeCell ref="J3:P3"/>
    <mergeCell ref="Q3:W3"/>
    <mergeCell ref="A6:A10"/>
    <mergeCell ref="A30:A34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Normal="100" zoomScalePageLayoutView="115" workbookViewId="0">
      <selection activeCell="C6" sqref="C6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1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0.5</v>
      </c>
      <c r="E6" s="34">
        <v>0</v>
      </c>
      <c r="F6" s="34">
        <v>0.5</v>
      </c>
      <c r="G6" s="34">
        <v>0</v>
      </c>
      <c r="H6" s="34">
        <v>0</v>
      </c>
      <c r="I6" s="34">
        <v>0</v>
      </c>
      <c r="J6" s="61">
        <v>4.5</v>
      </c>
      <c r="K6" s="33">
        <v>0.5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0.5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1.5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0.5</v>
      </c>
      <c r="E8" s="34">
        <v>0</v>
      </c>
      <c r="F8" s="34">
        <v>0</v>
      </c>
      <c r="G8" s="34">
        <v>0</v>
      </c>
      <c r="H8" s="34">
        <v>0</v>
      </c>
      <c r="I8" s="34">
        <v>2.5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1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1.5</v>
      </c>
      <c r="E10" s="21">
        <f t="shared" si="1"/>
        <v>0</v>
      </c>
      <c r="F10" s="21">
        <f t="shared" si="1"/>
        <v>0.5</v>
      </c>
      <c r="G10" s="21">
        <f t="shared" si="1"/>
        <v>0</v>
      </c>
      <c r="H10" s="21">
        <f t="shared" si="1"/>
        <v>0</v>
      </c>
      <c r="I10" s="62">
        <f t="shared" si="1"/>
        <v>2.5</v>
      </c>
      <c r="J10" s="63">
        <f t="shared" si="1"/>
        <v>4.5</v>
      </c>
      <c r="K10" s="21">
        <f t="shared" si="1"/>
        <v>2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1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0.5</v>
      </c>
      <c r="E12" s="22">
        <f t="shared" si="2"/>
        <v>0.5</v>
      </c>
      <c r="F12" s="22">
        <f t="shared" si="2"/>
        <v>1</v>
      </c>
      <c r="G12" s="22">
        <f t="shared" si="2"/>
        <v>1</v>
      </c>
      <c r="H12" s="22">
        <f t="shared" si="2"/>
        <v>1</v>
      </c>
      <c r="I12" s="64">
        <f t="shared" si="2"/>
        <v>1</v>
      </c>
      <c r="J12" s="65">
        <f t="shared" si="2"/>
        <v>5.5</v>
      </c>
      <c r="K12" s="22">
        <f t="shared" si="2"/>
        <v>6</v>
      </c>
      <c r="L12" s="22">
        <f t="shared" si="2"/>
        <v>6</v>
      </c>
      <c r="M12" s="22">
        <f t="shared" si="2"/>
        <v>6</v>
      </c>
      <c r="N12" s="22">
        <f t="shared" si="2"/>
        <v>6</v>
      </c>
      <c r="O12" s="22">
        <f t="shared" si="2"/>
        <v>6</v>
      </c>
      <c r="P12" s="64">
        <f t="shared" si="2"/>
        <v>6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0.5</v>
      </c>
      <c r="E13" s="22">
        <f t="shared" si="3"/>
        <v>0.5</v>
      </c>
      <c r="F13" s="22">
        <f t="shared" si="3"/>
        <v>0.5</v>
      </c>
      <c r="G13" s="22">
        <f t="shared" si="3"/>
        <v>0.5</v>
      </c>
      <c r="H13" s="22">
        <f t="shared" si="3"/>
        <v>0.5</v>
      </c>
      <c r="I13" s="64">
        <f t="shared" si="3"/>
        <v>0.5</v>
      </c>
      <c r="J13" s="65">
        <f t="shared" si="3"/>
        <v>0.5</v>
      </c>
      <c r="K13" s="22">
        <f t="shared" si="3"/>
        <v>2</v>
      </c>
      <c r="L13" s="22">
        <f t="shared" si="3"/>
        <v>2</v>
      </c>
      <c r="M13" s="22">
        <f t="shared" si="3"/>
        <v>2</v>
      </c>
      <c r="N13" s="22">
        <f t="shared" si="3"/>
        <v>2</v>
      </c>
      <c r="O13" s="22">
        <f t="shared" si="3"/>
        <v>2</v>
      </c>
      <c r="P13" s="64">
        <f t="shared" si="3"/>
        <v>2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0.5</v>
      </c>
      <c r="E14" s="22">
        <f t="shared" si="4"/>
        <v>0.5</v>
      </c>
      <c r="F14" s="22">
        <f t="shared" si="4"/>
        <v>0.5</v>
      </c>
      <c r="G14" s="22">
        <f t="shared" si="4"/>
        <v>0.5</v>
      </c>
      <c r="H14" s="22">
        <f t="shared" si="4"/>
        <v>0.5</v>
      </c>
      <c r="I14" s="64">
        <f t="shared" si="4"/>
        <v>3</v>
      </c>
      <c r="J14" s="65">
        <f t="shared" si="4"/>
        <v>3</v>
      </c>
      <c r="K14" s="22">
        <f t="shared" si="4"/>
        <v>3</v>
      </c>
      <c r="L14" s="22">
        <f t="shared" si="4"/>
        <v>3</v>
      </c>
      <c r="M14" s="22">
        <f t="shared" si="4"/>
        <v>3</v>
      </c>
      <c r="N14" s="22">
        <f t="shared" si="4"/>
        <v>3</v>
      </c>
      <c r="O14" s="22">
        <f t="shared" si="4"/>
        <v>3</v>
      </c>
      <c r="P14" s="64">
        <f t="shared" si="4"/>
        <v>4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1.5</v>
      </c>
      <c r="E16" s="21">
        <f t="shared" si="6"/>
        <v>1.5</v>
      </c>
      <c r="F16" s="21">
        <f t="shared" si="6"/>
        <v>2</v>
      </c>
      <c r="G16" s="21">
        <f t="shared" si="6"/>
        <v>2</v>
      </c>
      <c r="H16" s="21">
        <f t="shared" si="6"/>
        <v>2</v>
      </c>
      <c r="I16" s="62">
        <f t="shared" si="6"/>
        <v>4.5</v>
      </c>
      <c r="J16" s="63">
        <f t="shared" si="6"/>
        <v>9</v>
      </c>
      <c r="K16" s="21">
        <f t="shared" si="6"/>
        <v>11</v>
      </c>
      <c r="L16" s="21">
        <f t="shared" si="6"/>
        <v>11</v>
      </c>
      <c r="M16" s="21">
        <f t="shared" si="6"/>
        <v>11</v>
      </c>
      <c r="N16" s="21">
        <f t="shared" si="6"/>
        <v>11</v>
      </c>
      <c r="O16" s="21">
        <f t="shared" si="6"/>
        <v>11</v>
      </c>
      <c r="P16" s="62">
        <f t="shared" si="6"/>
        <v>12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1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4</v>
      </c>
      <c r="D19" s="34">
        <v>0.75</v>
      </c>
      <c r="E19" s="34">
        <v>0</v>
      </c>
      <c r="F19" s="34">
        <v>0.5</v>
      </c>
      <c r="G19" s="34">
        <v>0</v>
      </c>
      <c r="H19" s="34">
        <v>0</v>
      </c>
      <c r="I19" s="34">
        <v>0.5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1.5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0.5</v>
      </c>
      <c r="J20" s="61">
        <v>0</v>
      </c>
      <c r="K20" s="33">
        <v>0</v>
      </c>
      <c r="L20" s="33">
        <v>0.5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4</v>
      </c>
      <c r="D22" s="21">
        <f t="shared" ref="D22:P22" si="7" xml:space="preserve"> SUM(D18:D21)</f>
        <v>0.75</v>
      </c>
      <c r="E22" s="21">
        <f t="shared" si="7"/>
        <v>0</v>
      </c>
      <c r="F22" s="21">
        <f t="shared" si="7"/>
        <v>0.5</v>
      </c>
      <c r="G22" s="21">
        <f t="shared" si="7"/>
        <v>0</v>
      </c>
      <c r="H22" s="21">
        <f t="shared" si="7"/>
        <v>0</v>
      </c>
      <c r="I22" s="62">
        <f t="shared" si="7"/>
        <v>1</v>
      </c>
      <c r="J22" s="63">
        <f t="shared" si="7"/>
        <v>0</v>
      </c>
      <c r="K22" s="21">
        <f t="shared" si="7"/>
        <v>0</v>
      </c>
      <c r="L22" s="21">
        <f t="shared" si="7"/>
        <v>0.5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2.5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1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4</v>
      </c>
      <c r="D25" s="22">
        <f xml:space="preserve"> C$25 + D$19</f>
        <v>4.75</v>
      </c>
      <c r="E25" s="22">
        <f t="shared" ref="E25:P25" si="9" xml:space="preserve"> D$25 + E$19</f>
        <v>4.75</v>
      </c>
      <c r="F25" s="22">
        <f t="shared" si="9"/>
        <v>5.25</v>
      </c>
      <c r="G25" s="22">
        <f t="shared" si="9"/>
        <v>5.25</v>
      </c>
      <c r="H25" s="22">
        <f t="shared" si="9"/>
        <v>5.25</v>
      </c>
      <c r="I25" s="64">
        <f t="shared" si="9"/>
        <v>5.75</v>
      </c>
      <c r="J25" s="65">
        <f t="shared" si="9"/>
        <v>5.75</v>
      </c>
      <c r="K25" s="22">
        <f t="shared" si="9"/>
        <v>5.75</v>
      </c>
      <c r="L25" s="22">
        <f t="shared" si="9"/>
        <v>5.75</v>
      </c>
      <c r="M25" s="22">
        <f t="shared" si="9"/>
        <v>5.75</v>
      </c>
      <c r="N25" s="22">
        <f t="shared" si="9"/>
        <v>5.75</v>
      </c>
      <c r="O25" s="22">
        <f t="shared" si="9"/>
        <v>5.75</v>
      </c>
      <c r="P25" s="64">
        <f t="shared" si="9"/>
        <v>7.25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0.5</v>
      </c>
      <c r="J26" s="65">
        <f t="shared" si="10"/>
        <v>0.5</v>
      </c>
      <c r="K26" s="22">
        <f t="shared" si="10"/>
        <v>0.5</v>
      </c>
      <c r="L26" s="22">
        <f t="shared" si="10"/>
        <v>1</v>
      </c>
      <c r="M26" s="22">
        <f t="shared" si="10"/>
        <v>1</v>
      </c>
      <c r="N26" s="22">
        <f t="shared" si="10"/>
        <v>1</v>
      </c>
      <c r="O26" s="22">
        <f t="shared" si="10"/>
        <v>1</v>
      </c>
      <c r="P26" s="64">
        <f t="shared" si="10"/>
        <v>1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4</v>
      </c>
      <c r="D28" s="21">
        <f t="shared" ref="D28:P28" si="12" xml:space="preserve"> SUM(D24:D27)</f>
        <v>4.75</v>
      </c>
      <c r="E28" s="21">
        <f t="shared" si="12"/>
        <v>4.75</v>
      </c>
      <c r="F28" s="21">
        <f t="shared" si="12"/>
        <v>5.25</v>
      </c>
      <c r="G28" s="21">
        <f t="shared" si="12"/>
        <v>5.25</v>
      </c>
      <c r="H28" s="21">
        <f t="shared" si="12"/>
        <v>5.25</v>
      </c>
      <c r="I28" s="62">
        <f t="shared" si="12"/>
        <v>6.25</v>
      </c>
      <c r="J28" s="63">
        <f t="shared" si="12"/>
        <v>6.25</v>
      </c>
      <c r="K28" s="21">
        <f t="shared" si="12"/>
        <v>6.25</v>
      </c>
      <c r="L28" s="21">
        <f t="shared" si="12"/>
        <v>6.75</v>
      </c>
      <c r="M28" s="21">
        <f t="shared" si="12"/>
        <v>6.75</v>
      </c>
      <c r="N28" s="21">
        <f t="shared" si="12"/>
        <v>6.75</v>
      </c>
      <c r="O28" s="21">
        <f t="shared" si="12"/>
        <v>6.75</v>
      </c>
      <c r="P28" s="62">
        <f t="shared" si="12"/>
        <v>9.25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0.25</v>
      </c>
      <c r="E30" s="22">
        <f t="shared" ref="E30:P30" si="13" xml:space="preserve"> (E$12 + E$24) / E$5</f>
        <v>0.16666666666666666</v>
      </c>
      <c r="F30" s="22">
        <f t="shared" si="13"/>
        <v>0.25</v>
      </c>
      <c r="G30" s="22">
        <f t="shared" si="13"/>
        <v>0.2</v>
      </c>
      <c r="H30" s="22">
        <f t="shared" si="13"/>
        <v>0.16666666666666666</v>
      </c>
      <c r="I30" s="64">
        <f t="shared" si="13"/>
        <v>0.14285714285714285</v>
      </c>
      <c r="J30" s="65">
        <f t="shared" si="13"/>
        <v>0.6875</v>
      </c>
      <c r="K30" s="22">
        <f t="shared" si="13"/>
        <v>0.66666666666666663</v>
      </c>
      <c r="L30" s="22">
        <f t="shared" si="13"/>
        <v>0.6</v>
      </c>
      <c r="M30" s="22">
        <f t="shared" si="13"/>
        <v>0.54545454545454541</v>
      </c>
      <c r="N30" s="22">
        <f t="shared" si="13"/>
        <v>0.5</v>
      </c>
      <c r="O30" s="22">
        <f t="shared" si="13"/>
        <v>0.46153846153846156</v>
      </c>
      <c r="P30" s="64">
        <f t="shared" si="13"/>
        <v>0.5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4</v>
      </c>
      <c r="D31" s="22">
        <f xml:space="preserve"> (D$13 + D$25) / D$5</f>
        <v>2.625</v>
      </c>
      <c r="E31" s="22">
        <f t="shared" ref="E31:P31" si="14" xml:space="preserve"> (E$13 + E$25) / E$5</f>
        <v>1.75</v>
      </c>
      <c r="F31" s="22">
        <f t="shared" si="14"/>
        <v>1.4375</v>
      </c>
      <c r="G31" s="22">
        <f t="shared" si="14"/>
        <v>1.1499999999999999</v>
      </c>
      <c r="H31" s="22">
        <f t="shared" si="14"/>
        <v>0.95833333333333337</v>
      </c>
      <c r="I31" s="64">
        <f t="shared" si="14"/>
        <v>0.8928571428571429</v>
      </c>
      <c r="J31" s="65">
        <f t="shared" si="14"/>
        <v>0.78125</v>
      </c>
      <c r="K31" s="22">
        <f t="shared" si="14"/>
        <v>0.86111111111111116</v>
      </c>
      <c r="L31" s="22">
        <f t="shared" si="14"/>
        <v>0.77500000000000002</v>
      </c>
      <c r="M31" s="22">
        <f t="shared" si="14"/>
        <v>0.70454545454545459</v>
      </c>
      <c r="N31" s="22">
        <f t="shared" si="14"/>
        <v>0.64583333333333337</v>
      </c>
      <c r="O31" s="22">
        <f t="shared" si="14"/>
        <v>0.59615384615384615</v>
      </c>
      <c r="P31" s="64">
        <f t="shared" si="14"/>
        <v>0.6607142857142857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0.25</v>
      </c>
      <c r="E32" s="22">
        <f t="shared" ref="E32:P32" si="15" xml:space="preserve"> (E$14 + E$26) / E$5</f>
        <v>0.16666666666666666</v>
      </c>
      <c r="F32" s="22">
        <f t="shared" si="15"/>
        <v>0.125</v>
      </c>
      <c r="G32" s="22">
        <f t="shared" si="15"/>
        <v>0.1</v>
      </c>
      <c r="H32" s="22">
        <f t="shared" si="15"/>
        <v>8.3333333333333329E-2</v>
      </c>
      <c r="I32" s="64">
        <f t="shared" si="15"/>
        <v>0.5</v>
      </c>
      <c r="J32" s="65">
        <f t="shared" si="15"/>
        <v>0.4375</v>
      </c>
      <c r="K32" s="22">
        <f t="shared" si="15"/>
        <v>0.3888888888888889</v>
      </c>
      <c r="L32" s="22">
        <f t="shared" si="15"/>
        <v>0.4</v>
      </c>
      <c r="M32" s="22">
        <f t="shared" si="15"/>
        <v>0.36363636363636365</v>
      </c>
      <c r="N32" s="22">
        <f t="shared" si="15"/>
        <v>0.33333333333333331</v>
      </c>
      <c r="O32" s="22">
        <f t="shared" si="15"/>
        <v>0.30769230769230771</v>
      </c>
      <c r="P32" s="64">
        <f t="shared" si="15"/>
        <v>0.35714285714285715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4</v>
      </c>
      <c r="D34" s="21">
        <f t="shared" ref="D34:P34" si="17" xml:space="preserve"> SUM(D30:D33)</f>
        <v>3.125</v>
      </c>
      <c r="E34" s="21">
        <f t="shared" si="17"/>
        <v>2.0833333333333335</v>
      </c>
      <c r="F34" s="21">
        <f t="shared" si="17"/>
        <v>1.8125</v>
      </c>
      <c r="G34" s="21">
        <f t="shared" si="17"/>
        <v>1.45</v>
      </c>
      <c r="H34" s="21">
        <f t="shared" si="17"/>
        <v>1.2083333333333333</v>
      </c>
      <c r="I34" s="62">
        <f t="shared" si="17"/>
        <v>1.5357142857142858</v>
      </c>
      <c r="J34" s="63">
        <f t="shared" si="17"/>
        <v>1.90625</v>
      </c>
      <c r="K34" s="21">
        <f t="shared" si="17"/>
        <v>1.9166666666666665</v>
      </c>
      <c r="L34" s="21">
        <f t="shared" si="17"/>
        <v>1.7749999999999999</v>
      </c>
      <c r="M34" s="21">
        <f t="shared" si="17"/>
        <v>1.6136363636363638</v>
      </c>
      <c r="N34" s="21">
        <f t="shared" si="17"/>
        <v>1.4791666666666667</v>
      </c>
      <c r="O34" s="21">
        <f t="shared" si="17"/>
        <v>1.3653846153846154</v>
      </c>
      <c r="P34" s="62">
        <f t="shared" si="17"/>
        <v>1.5178571428571428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</v>
      </c>
      <c r="D37" s="25">
        <f xml:space="preserve"> SUM(J6:P6) + SUM(J18:P18)</f>
        <v>6</v>
      </c>
      <c r="E37" s="25">
        <f xml:space="preserve"> SUM(C37:D37)</f>
        <v>7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6.25</v>
      </c>
      <c r="D38" s="25">
        <f t="shared" ref="D38:D40" si="19" xml:space="preserve"> SUM(J7:P7) + SUM(J19:P19)</f>
        <v>3</v>
      </c>
      <c r="E38" s="25">
        <f xml:space="preserve"> SUM(C38:D38)</f>
        <v>9.25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3.5</v>
      </c>
      <c r="D39" s="25">
        <f t="shared" si="19"/>
        <v>1.5</v>
      </c>
      <c r="E39" s="25">
        <f xml:space="preserve"> SUM(C39:D39)</f>
        <v>5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10.75</v>
      </c>
      <c r="D41" s="21">
        <f t="shared" ref="D41" si="20" xml:space="preserve"> SUM(D37:D40)</f>
        <v>10.5</v>
      </c>
      <c r="E41" s="21">
        <f xml:space="preserve"> SUM(C41:D41)</f>
        <v>21.25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1</v>
      </c>
      <c r="D43" s="25">
        <f xml:space="preserve"> SUM(C37:D37) / D$36</f>
        <v>3.5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6.25</v>
      </c>
      <c r="D44" s="25">
        <f t="shared" ref="D44:D46" si="22" xml:space="preserve"> SUM(C38:D38) / D$36</f>
        <v>4.625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3.5</v>
      </c>
      <c r="D45" s="25">
        <f t="shared" si="22"/>
        <v>2.5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10.75</v>
      </c>
      <c r="D47" s="21">
        <f t="shared" ref="D47" si="23" xml:space="preserve"> SUM(D43:D46)</f>
        <v>10.625</v>
      </c>
    </row>
  </sheetData>
  <mergeCells count="9">
    <mergeCell ref="A37:A41"/>
    <mergeCell ref="A43:A47"/>
    <mergeCell ref="A24:A28"/>
    <mergeCell ref="C3:I3"/>
    <mergeCell ref="J3:P3"/>
    <mergeCell ref="A6:A10"/>
    <mergeCell ref="A12:A16"/>
    <mergeCell ref="A18:A22"/>
    <mergeCell ref="A30:A34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9" sqref="C9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2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0.25</v>
      </c>
      <c r="G6" s="34">
        <v>3.75</v>
      </c>
      <c r="H6" s="34">
        <v>0</v>
      </c>
      <c r="I6" s="34">
        <v>1</v>
      </c>
      <c r="J6" s="61">
        <v>4.5170000000000003</v>
      </c>
      <c r="K6" s="33">
        <v>0.48299999999999998</v>
      </c>
      <c r="L6" s="33">
        <v>0</v>
      </c>
      <c r="M6" s="33">
        <v>0</v>
      </c>
      <c r="N6" s="33">
        <v>0</v>
      </c>
      <c r="O6" s="33">
        <v>0</v>
      </c>
      <c r="P6" s="60">
        <v>5.5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2</v>
      </c>
      <c r="I7" s="34">
        <v>0</v>
      </c>
      <c r="J7" s="61">
        <v>2</v>
      </c>
      <c r="K7" s="33">
        <v>6</v>
      </c>
      <c r="L7" s="33">
        <v>0</v>
      </c>
      <c r="M7" s="33">
        <v>0</v>
      </c>
      <c r="N7" s="33">
        <v>0</v>
      </c>
      <c r="O7" s="33">
        <v>0</v>
      </c>
      <c r="P7" s="60">
        <v>4.0030000000000001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5.0670000000000002</v>
      </c>
      <c r="J8" s="61">
        <v>0.5</v>
      </c>
      <c r="K8" s="33">
        <v>0</v>
      </c>
      <c r="L8" s="33">
        <v>0</v>
      </c>
      <c r="M8" s="33">
        <v>3</v>
      </c>
      <c r="N8" s="33">
        <v>0</v>
      </c>
      <c r="O8" s="33">
        <v>2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0.25</v>
      </c>
      <c r="G10" s="21">
        <f t="shared" si="1"/>
        <v>3.75</v>
      </c>
      <c r="H10" s="21">
        <f t="shared" si="1"/>
        <v>2</v>
      </c>
      <c r="I10" s="62">
        <f t="shared" si="1"/>
        <v>6.0670000000000002</v>
      </c>
      <c r="J10" s="63">
        <f t="shared" si="1"/>
        <v>7.0170000000000003</v>
      </c>
      <c r="K10" s="21">
        <f t="shared" si="1"/>
        <v>6.4829999999999997</v>
      </c>
      <c r="L10" s="21">
        <f t="shared" si="1"/>
        <v>0</v>
      </c>
      <c r="M10" s="21">
        <f t="shared" si="1"/>
        <v>3</v>
      </c>
      <c r="N10" s="21">
        <f t="shared" si="1"/>
        <v>0</v>
      </c>
      <c r="O10" s="21">
        <f t="shared" si="1"/>
        <v>2</v>
      </c>
      <c r="P10" s="62">
        <f t="shared" si="1"/>
        <v>9.5030000000000001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0.25</v>
      </c>
      <c r="G12" s="22">
        <f t="shared" si="2"/>
        <v>4</v>
      </c>
      <c r="H12" s="22">
        <f t="shared" si="2"/>
        <v>4</v>
      </c>
      <c r="I12" s="64">
        <f t="shared" si="2"/>
        <v>5</v>
      </c>
      <c r="J12" s="65">
        <f t="shared" si="2"/>
        <v>9.5169999999999995</v>
      </c>
      <c r="K12" s="22">
        <f t="shared" si="2"/>
        <v>10</v>
      </c>
      <c r="L12" s="22">
        <f t="shared" si="2"/>
        <v>10</v>
      </c>
      <c r="M12" s="22">
        <f t="shared" si="2"/>
        <v>10</v>
      </c>
      <c r="N12" s="22">
        <f t="shared" si="2"/>
        <v>10</v>
      </c>
      <c r="O12" s="22">
        <f t="shared" si="2"/>
        <v>10</v>
      </c>
      <c r="P12" s="64">
        <f t="shared" si="2"/>
        <v>15.5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2</v>
      </c>
      <c r="I13" s="64">
        <f t="shared" si="3"/>
        <v>2</v>
      </c>
      <c r="J13" s="65">
        <f t="shared" si="3"/>
        <v>4</v>
      </c>
      <c r="K13" s="22">
        <f t="shared" si="3"/>
        <v>10</v>
      </c>
      <c r="L13" s="22">
        <f t="shared" si="3"/>
        <v>10</v>
      </c>
      <c r="M13" s="22">
        <f t="shared" si="3"/>
        <v>10</v>
      </c>
      <c r="N13" s="22">
        <f t="shared" si="3"/>
        <v>10</v>
      </c>
      <c r="O13" s="22">
        <f t="shared" si="3"/>
        <v>10</v>
      </c>
      <c r="P13" s="64">
        <f t="shared" si="3"/>
        <v>14.003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5.0670000000000002</v>
      </c>
      <c r="J14" s="65">
        <f t="shared" si="4"/>
        <v>5.5670000000000002</v>
      </c>
      <c r="K14" s="22">
        <f t="shared" si="4"/>
        <v>5.5670000000000002</v>
      </c>
      <c r="L14" s="22">
        <f t="shared" si="4"/>
        <v>5.5670000000000002</v>
      </c>
      <c r="M14" s="22">
        <f t="shared" si="4"/>
        <v>8.5670000000000002</v>
      </c>
      <c r="N14" s="22">
        <f t="shared" si="4"/>
        <v>8.5670000000000002</v>
      </c>
      <c r="O14" s="22">
        <f t="shared" si="4"/>
        <v>10.567</v>
      </c>
      <c r="P14" s="64">
        <f t="shared" si="4"/>
        <v>10.567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0.25</v>
      </c>
      <c r="G16" s="21">
        <f t="shared" si="6"/>
        <v>4</v>
      </c>
      <c r="H16" s="21">
        <f t="shared" si="6"/>
        <v>6</v>
      </c>
      <c r="I16" s="62">
        <f t="shared" si="6"/>
        <v>12.067</v>
      </c>
      <c r="J16" s="63">
        <f t="shared" si="6"/>
        <v>19.084</v>
      </c>
      <c r="K16" s="21">
        <f t="shared" si="6"/>
        <v>25.567</v>
      </c>
      <c r="L16" s="21">
        <f t="shared" si="6"/>
        <v>25.567</v>
      </c>
      <c r="M16" s="21">
        <f t="shared" si="6"/>
        <v>28.567</v>
      </c>
      <c r="N16" s="21">
        <f t="shared" si="6"/>
        <v>28.567</v>
      </c>
      <c r="O16" s="21">
        <f t="shared" si="6"/>
        <v>30.567</v>
      </c>
      <c r="P16" s="62">
        <f t="shared" si="6"/>
        <v>40.07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6.25E-2</v>
      </c>
      <c r="G30" s="22">
        <f t="shared" si="13"/>
        <v>0.8</v>
      </c>
      <c r="H30" s="22">
        <f t="shared" si="13"/>
        <v>0.66666666666666663</v>
      </c>
      <c r="I30" s="64">
        <f t="shared" si="13"/>
        <v>0.7142857142857143</v>
      </c>
      <c r="J30" s="65">
        <f t="shared" si="13"/>
        <v>1.1896249999999999</v>
      </c>
      <c r="K30" s="22">
        <f t="shared" si="13"/>
        <v>1.1111111111111112</v>
      </c>
      <c r="L30" s="22">
        <f t="shared" si="13"/>
        <v>1</v>
      </c>
      <c r="M30" s="22">
        <f t="shared" si="13"/>
        <v>0.90909090909090906</v>
      </c>
      <c r="N30" s="22">
        <f t="shared" si="13"/>
        <v>0.83333333333333337</v>
      </c>
      <c r="O30" s="22">
        <f t="shared" si="13"/>
        <v>0.76923076923076927</v>
      </c>
      <c r="P30" s="64">
        <f t="shared" si="13"/>
        <v>1.1071428571428572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0.33333333333333331</v>
      </c>
      <c r="I31" s="64">
        <f t="shared" si="14"/>
        <v>0.2857142857142857</v>
      </c>
      <c r="J31" s="65">
        <f t="shared" si="14"/>
        <v>0.5</v>
      </c>
      <c r="K31" s="22">
        <f t="shared" si="14"/>
        <v>1.1111111111111112</v>
      </c>
      <c r="L31" s="22">
        <f t="shared" si="14"/>
        <v>1</v>
      </c>
      <c r="M31" s="22">
        <f t="shared" si="14"/>
        <v>0.90909090909090906</v>
      </c>
      <c r="N31" s="22">
        <f t="shared" si="14"/>
        <v>0.83333333333333337</v>
      </c>
      <c r="O31" s="22">
        <f t="shared" si="14"/>
        <v>0.76923076923076927</v>
      </c>
      <c r="P31" s="64">
        <f t="shared" si="14"/>
        <v>1.0002142857142857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0.72385714285714287</v>
      </c>
      <c r="J32" s="65">
        <f t="shared" si="15"/>
        <v>0.69587500000000002</v>
      </c>
      <c r="K32" s="22">
        <f t="shared" si="15"/>
        <v>0.61855555555555553</v>
      </c>
      <c r="L32" s="22">
        <f t="shared" si="15"/>
        <v>0.55669999999999997</v>
      </c>
      <c r="M32" s="22">
        <f t="shared" si="15"/>
        <v>0.77881818181818185</v>
      </c>
      <c r="N32" s="22">
        <f t="shared" si="15"/>
        <v>0.71391666666666664</v>
      </c>
      <c r="O32" s="22">
        <f t="shared" si="15"/>
        <v>0.81284615384615388</v>
      </c>
      <c r="P32" s="64">
        <f t="shared" si="15"/>
        <v>0.75478571428571428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6.25E-2</v>
      </c>
      <c r="G34" s="21">
        <f t="shared" si="17"/>
        <v>0.8</v>
      </c>
      <c r="H34" s="21">
        <f t="shared" si="17"/>
        <v>1</v>
      </c>
      <c r="I34" s="62">
        <f t="shared" si="17"/>
        <v>1.7238571428571428</v>
      </c>
      <c r="J34" s="63">
        <f t="shared" si="17"/>
        <v>2.3855</v>
      </c>
      <c r="K34" s="21">
        <f t="shared" si="17"/>
        <v>2.8407777777777778</v>
      </c>
      <c r="L34" s="21">
        <f t="shared" si="17"/>
        <v>2.5567000000000002</v>
      </c>
      <c r="M34" s="21">
        <f t="shared" si="17"/>
        <v>2.597</v>
      </c>
      <c r="N34" s="21">
        <f t="shared" si="17"/>
        <v>2.3805833333333335</v>
      </c>
      <c r="O34" s="21">
        <f t="shared" si="17"/>
        <v>2.3513076923076923</v>
      </c>
      <c r="P34" s="62">
        <f t="shared" si="17"/>
        <v>2.8621428571428571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5</v>
      </c>
      <c r="D37" s="25">
        <f xml:space="preserve"> SUM(J6:P6) + SUM(J18:P18)</f>
        <v>10.5</v>
      </c>
      <c r="E37" s="25">
        <f xml:space="preserve"> SUM(C37:D37)</f>
        <v>15.5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2</v>
      </c>
      <c r="D38" s="25">
        <f t="shared" ref="D38:D40" si="19" xml:space="preserve"> SUM(J7:P7) + SUM(J19:P19)</f>
        <v>12.003</v>
      </c>
      <c r="E38" s="25">
        <f xml:space="preserve"> SUM(C38:D38)</f>
        <v>14.003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5.0670000000000002</v>
      </c>
      <c r="D39" s="25">
        <f t="shared" si="19"/>
        <v>5.5</v>
      </c>
      <c r="E39" s="25">
        <f xml:space="preserve"> SUM(C39:D39)</f>
        <v>10.567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12.067</v>
      </c>
      <c r="D41" s="21">
        <f t="shared" ref="D41" si="20" xml:space="preserve"> SUM(D37:D40)</f>
        <v>28.003</v>
      </c>
      <c r="E41" s="21">
        <f xml:space="preserve"> SUM(C41:D41)</f>
        <v>40.07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5</v>
      </c>
      <c r="D43" s="25">
        <f xml:space="preserve"> SUM(C37:D37) / D$36</f>
        <v>7.75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2</v>
      </c>
      <c r="D44" s="25">
        <f t="shared" ref="D44:D46" si="22" xml:space="preserve"> SUM(C38:D38) / D$36</f>
        <v>7.0015000000000001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5.0670000000000002</v>
      </c>
      <c r="D45" s="25">
        <f t="shared" si="22"/>
        <v>5.2835000000000001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12.067</v>
      </c>
      <c r="D47" s="21">
        <f t="shared" ref="D47" si="23" xml:space="preserve"> SUM(D43:D46)</f>
        <v>20.035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abSelected="1" zoomScale="115" zoomScaleNormal="115" zoomScalePageLayoutView="115" workbookViewId="0">
      <selection activeCell="Q14" sqref="Q1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3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0.25</v>
      </c>
      <c r="D6" s="34">
        <v>2.75</v>
      </c>
      <c r="E6" s="34">
        <v>3</v>
      </c>
      <c r="F6" s="34">
        <v>0</v>
      </c>
      <c r="G6" s="34">
        <v>0</v>
      </c>
      <c r="H6" s="34">
        <v>0</v>
      </c>
      <c r="I6" s="34">
        <v>5</v>
      </c>
      <c r="J6" s="61">
        <v>3</v>
      </c>
      <c r="K6" s="33">
        <v>1</v>
      </c>
      <c r="L6" s="33">
        <v>3</v>
      </c>
      <c r="M6" s="33">
        <v>0</v>
      </c>
      <c r="N6" s="33">
        <v>0</v>
      </c>
      <c r="O6" s="33">
        <v>0</v>
      </c>
      <c r="P6" s="60">
        <v>2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5</v>
      </c>
      <c r="E7" s="34">
        <v>0</v>
      </c>
      <c r="F7" s="34">
        <v>0</v>
      </c>
      <c r="G7" s="34">
        <v>0</v>
      </c>
      <c r="H7" s="34">
        <v>2</v>
      </c>
      <c r="I7" s="34">
        <v>4</v>
      </c>
      <c r="J7" s="61">
        <v>0</v>
      </c>
      <c r="K7" s="33">
        <v>5</v>
      </c>
      <c r="L7" s="33">
        <v>0</v>
      </c>
      <c r="M7" s="33">
        <v>0</v>
      </c>
      <c r="N7" s="33">
        <v>0</v>
      </c>
      <c r="O7" s="33">
        <v>0</v>
      </c>
      <c r="P7" s="60">
        <v>3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2</v>
      </c>
      <c r="E8" s="34">
        <v>0</v>
      </c>
      <c r="F8" s="34">
        <v>0</v>
      </c>
      <c r="G8" s="34">
        <v>4</v>
      </c>
      <c r="H8" s="34">
        <v>0</v>
      </c>
      <c r="I8" s="34">
        <v>0</v>
      </c>
      <c r="J8" s="61">
        <v>1</v>
      </c>
      <c r="K8" s="33">
        <v>0</v>
      </c>
      <c r="L8" s="33">
        <v>2</v>
      </c>
      <c r="M8" s="33">
        <v>0</v>
      </c>
      <c r="N8" s="33">
        <v>0</v>
      </c>
      <c r="O8" s="33">
        <v>2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t="shared" ref="C10:P10" si="1" xml:space="preserve"> SUM(C6:C9)</f>
        <v>0.25</v>
      </c>
      <c r="D10" s="21">
        <f t="shared" si="1"/>
        <v>9.75</v>
      </c>
      <c r="E10" s="21">
        <f t="shared" si="1"/>
        <v>3</v>
      </c>
      <c r="F10" s="21">
        <f t="shared" si="1"/>
        <v>0</v>
      </c>
      <c r="G10" s="21">
        <f t="shared" si="1"/>
        <v>4</v>
      </c>
      <c r="H10" s="21">
        <f t="shared" si="1"/>
        <v>2</v>
      </c>
      <c r="I10" s="62">
        <f t="shared" si="1"/>
        <v>9</v>
      </c>
      <c r="J10" s="63">
        <f t="shared" si="1"/>
        <v>4</v>
      </c>
      <c r="K10" s="21">
        <f t="shared" si="1"/>
        <v>6</v>
      </c>
      <c r="L10" s="21">
        <f t="shared" si="1"/>
        <v>5</v>
      </c>
      <c r="M10" s="21">
        <f t="shared" si="1"/>
        <v>0</v>
      </c>
      <c r="N10" s="21">
        <f t="shared" si="1"/>
        <v>0</v>
      </c>
      <c r="O10" s="21">
        <f t="shared" si="1"/>
        <v>2</v>
      </c>
      <c r="P10" s="62">
        <f t="shared" si="1"/>
        <v>5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0.25</v>
      </c>
      <c r="D12" s="22">
        <f t="shared" ref="D12:P12" si="2" xml:space="preserve"> C$12 + D$6</f>
        <v>3</v>
      </c>
      <c r="E12" s="22">
        <f t="shared" si="2"/>
        <v>6</v>
      </c>
      <c r="F12" s="22">
        <f t="shared" si="2"/>
        <v>6</v>
      </c>
      <c r="G12" s="22">
        <f t="shared" si="2"/>
        <v>6</v>
      </c>
      <c r="H12" s="22">
        <f t="shared" si="2"/>
        <v>6</v>
      </c>
      <c r="I12" s="64">
        <f t="shared" si="2"/>
        <v>11</v>
      </c>
      <c r="J12" s="65">
        <f t="shared" si="2"/>
        <v>14</v>
      </c>
      <c r="K12" s="22">
        <f t="shared" si="2"/>
        <v>15</v>
      </c>
      <c r="L12" s="22">
        <f t="shared" si="2"/>
        <v>18</v>
      </c>
      <c r="M12" s="22">
        <f t="shared" si="2"/>
        <v>18</v>
      </c>
      <c r="N12" s="22">
        <f t="shared" si="2"/>
        <v>18</v>
      </c>
      <c r="O12" s="22">
        <f t="shared" si="2"/>
        <v>18</v>
      </c>
      <c r="P12" s="64">
        <f t="shared" si="2"/>
        <v>20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5</v>
      </c>
      <c r="E13" s="22">
        <f t="shared" si="3"/>
        <v>5</v>
      </c>
      <c r="F13" s="22">
        <f t="shared" si="3"/>
        <v>5</v>
      </c>
      <c r="G13" s="22">
        <f t="shared" si="3"/>
        <v>5</v>
      </c>
      <c r="H13" s="22">
        <f t="shared" si="3"/>
        <v>7</v>
      </c>
      <c r="I13" s="64">
        <f t="shared" si="3"/>
        <v>11</v>
      </c>
      <c r="J13" s="65">
        <f t="shared" si="3"/>
        <v>11</v>
      </c>
      <c r="K13" s="22">
        <f t="shared" si="3"/>
        <v>16</v>
      </c>
      <c r="L13" s="22">
        <f t="shared" si="3"/>
        <v>16</v>
      </c>
      <c r="M13" s="22">
        <f t="shared" si="3"/>
        <v>16</v>
      </c>
      <c r="N13" s="22">
        <f t="shared" si="3"/>
        <v>16</v>
      </c>
      <c r="O13" s="22">
        <f t="shared" si="3"/>
        <v>16</v>
      </c>
      <c r="P13" s="64">
        <f t="shared" si="3"/>
        <v>19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2</v>
      </c>
      <c r="E14" s="22">
        <f t="shared" si="4"/>
        <v>2</v>
      </c>
      <c r="F14" s="22">
        <f t="shared" si="4"/>
        <v>2</v>
      </c>
      <c r="G14" s="22">
        <f t="shared" si="4"/>
        <v>6</v>
      </c>
      <c r="H14" s="22">
        <f t="shared" si="4"/>
        <v>6</v>
      </c>
      <c r="I14" s="64">
        <f t="shared" si="4"/>
        <v>6</v>
      </c>
      <c r="J14" s="65">
        <f t="shared" si="4"/>
        <v>7</v>
      </c>
      <c r="K14" s="22">
        <f t="shared" si="4"/>
        <v>7</v>
      </c>
      <c r="L14" s="22">
        <f t="shared" si="4"/>
        <v>9</v>
      </c>
      <c r="M14" s="22">
        <f t="shared" si="4"/>
        <v>9</v>
      </c>
      <c r="N14" s="22">
        <f t="shared" si="4"/>
        <v>9</v>
      </c>
      <c r="O14" s="22">
        <f t="shared" si="4"/>
        <v>11</v>
      </c>
      <c r="P14" s="64">
        <f t="shared" si="4"/>
        <v>11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0.25</v>
      </c>
      <c r="D16" s="21">
        <f t="shared" ref="D16:P16" si="6" xml:space="preserve"> SUM(D12:D15)</f>
        <v>10</v>
      </c>
      <c r="E16" s="21">
        <f t="shared" si="6"/>
        <v>13</v>
      </c>
      <c r="F16" s="21">
        <f t="shared" si="6"/>
        <v>13</v>
      </c>
      <c r="G16" s="21">
        <f t="shared" si="6"/>
        <v>17</v>
      </c>
      <c r="H16" s="21">
        <f t="shared" si="6"/>
        <v>19</v>
      </c>
      <c r="I16" s="62">
        <f t="shared" si="6"/>
        <v>28</v>
      </c>
      <c r="J16" s="63">
        <f t="shared" si="6"/>
        <v>32</v>
      </c>
      <c r="K16" s="21">
        <f t="shared" si="6"/>
        <v>38</v>
      </c>
      <c r="L16" s="21">
        <f t="shared" si="6"/>
        <v>43</v>
      </c>
      <c r="M16" s="21">
        <f t="shared" si="6"/>
        <v>43</v>
      </c>
      <c r="N16" s="21">
        <f t="shared" si="6"/>
        <v>43</v>
      </c>
      <c r="O16" s="21">
        <f t="shared" si="6"/>
        <v>45</v>
      </c>
      <c r="P16" s="62">
        <f t="shared" si="6"/>
        <v>50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t="shared" ref="C30:P30" si="13" xml:space="preserve"> (C$12 + C$24) / C$5</f>
        <v>0.25</v>
      </c>
      <c r="D30" s="22">
        <f t="shared" si="13"/>
        <v>1.5</v>
      </c>
      <c r="E30" s="22">
        <f t="shared" si="13"/>
        <v>2</v>
      </c>
      <c r="F30" s="22">
        <f t="shared" si="13"/>
        <v>1.5</v>
      </c>
      <c r="G30" s="22">
        <f t="shared" si="13"/>
        <v>1.2</v>
      </c>
      <c r="H30" s="22">
        <f t="shared" si="13"/>
        <v>1</v>
      </c>
      <c r="I30" s="64">
        <f t="shared" si="13"/>
        <v>1.5714285714285714</v>
      </c>
      <c r="J30" s="65">
        <f t="shared" si="13"/>
        <v>1.75</v>
      </c>
      <c r="K30" s="22">
        <f t="shared" si="13"/>
        <v>1.6666666666666667</v>
      </c>
      <c r="L30" s="22">
        <f t="shared" si="13"/>
        <v>1.8</v>
      </c>
      <c r="M30" s="22">
        <f t="shared" si="13"/>
        <v>1.6363636363636365</v>
      </c>
      <c r="N30" s="22">
        <f t="shared" si="13"/>
        <v>1.5</v>
      </c>
      <c r="O30" s="22">
        <f t="shared" si="13"/>
        <v>1.3846153846153846</v>
      </c>
      <c r="P30" s="64">
        <f t="shared" si="13"/>
        <v>1.4285714285714286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t="shared" ref="C31:P31" si="14" xml:space="preserve"> (C$13 + C$25) / C$5</f>
        <v>0</v>
      </c>
      <c r="D31" s="22">
        <f t="shared" si="14"/>
        <v>2.5</v>
      </c>
      <c r="E31" s="22">
        <f t="shared" si="14"/>
        <v>1.6666666666666667</v>
      </c>
      <c r="F31" s="22">
        <f t="shared" si="14"/>
        <v>1.25</v>
      </c>
      <c r="G31" s="22">
        <f t="shared" si="14"/>
        <v>1</v>
      </c>
      <c r="H31" s="22">
        <f t="shared" si="14"/>
        <v>1.1666666666666667</v>
      </c>
      <c r="I31" s="64">
        <f t="shared" si="14"/>
        <v>1.5714285714285714</v>
      </c>
      <c r="J31" s="65">
        <f t="shared" si="14"/>
        <v>1.375</v>
      </c>
      <c r="K31" s="22">
        <f t="shared" si="14"/>
        <v>1.7777777777777777</v>
      </c>
      <c r="L31" s="22">
        <f t="shared" si="14"/>
        <v>1.6</v>
      </c>
      <c r="M31" s="22">
        <f t="shared" si="14"/>
        <v>1.4545454545454546</v>
      </c>
      <c r="N31" s="22">
        <f t="shared" si="14"/>
        <v>1.3333333333333333</v>
      </c>
      <c r="O31" s="22">
        <f t="shared" si="14"/>
        <v>1.2307692307692308</v>
      </c>
      <c r="P31" s="64">
        <f t="shared" si="14"/>
        <v>1.3571428571428572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t="shared" ref="C32:P32" si="15" xml:space="preserve"> (C$14 + C$26) / C$5</f>
        <v>0</v>
      </c>
      <c r="D32" s="22">
        <f t="shared" si="15"/>
        <v>1</v>
      </c>
      <c r="E32" s="22">
        <f t="shared" si="15"/>
        <v>0.66666666666666663</v>
      </c>
      <c r="F32" s="22">
        <f t="shared" si="15"/>
        <v>0.5</v>
      </c>
      <c r="G32" s="22">
        <f t="shared" si="15"/>
        <v>1.2</v>
      </c>
      <c r="H32" s="22">
        <f t="shared" si="15"/>
        <v>1</v>
      </c>
      <c r="I32" s="64">
        <f t="shared" si="15"/>
        <v>0.8571428571428571</v>
      </c>
      <c r="J32" s="65">
        <f t="shared" si="15"/>
        <v>0.875</v>
      </c>
      <c r="K32" s="22">
        <f t="shared" si="15"/>
        <v>0.77777777777777779</v>
      </c>
      <c r="L32" s="22">
        <f t="shared" si="15"/>
        <v>0.9</v>
      </c>
      <c r="M32" s="22">
        <f t="shared" si="15"/>
        <v>0.81818181818181823</v>
      </c>
      <c r="N32" s="22">
        <f t="shared" si="15"/>
        <v>0.75</v>
      </c>
      <c r="O32" s="22">
        <f t="shared" si="15"/>
        <v>0.84615384615384615</v>
      </c>
      <c r="P32" s="64">
        <f t="shared" si="15"/>
        <v>0.7857142857142857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t="shared" ref="C33:P33" si="16" xml:space="preserve"> (C$15 + C$27) / C$5</f>
        <v>0</v>
      </c>
      <c r="D33" s="22">
        <f t="shared" si="16"/>
        <v>0</v>
      </c>
      <c r="E33" s="22">
        <f t="shared" si="16"/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0.25</v>
      </c>
      <c r="D34" s="21">
        <f t="shared" ref="D34:P34" si="17" xml:space="preserve"> SUM(D30:D33)</f>
        <v>5</v>
      </c>
      <c r="E34" s="21">
        <f t="shared" si="17"/>
        <v>4.3333333333333339</v>
      </c>
      <c r="F34" s="21">
        <f t="shared" si="17"/>
        <v>3.25</v>
      </c>
      <c r="G34" s="21">
        <f t="shared" si="17"/>
        <v>3.4000000000000004</v>
      </c>
      <c r="H34" s="21">
        <f t="shared" si="17"/>
        <v>3.166666666666667</v>
      </c>
      <c r="I34" s="62">
        <f t="shared" si="17"/>
        <v>4</v>
      </c>
      <c r="J34" s="63">
        <f t="shared" si="17"/>
        <v>4</v>
      </c>
      <c r="K34" s="21">
        <f t="shared" si="17"/>
        <v>4.2222222222222223</v>
      </c>
      <c r="L34" s="21">
        <f t="shared" si="17"/>
        <v>4.3000000000000007</v>
      </c>
      <c r="M34" s="21">
        <f t="shared" si="17"/>
        <v>3.9090909090909092</v>
      </c>
      <c r="N34" s="21">
        <f t="shared" si="17"/>
        <v>3.583333333333333</v>
      </c>
      <c r="O34" s="21">
        <f t="shared" si="17"/>
        <v>3.4615384615384617</v>
      </c>
      <c r="P34" s="62">
        <f t="shared" si="17"/>
        <v>3.5714285714285712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11</v>
      </c>
      <c r="D37" s="25">
        <f xml:space="preserve"> SUM(J6:P6) + SUM(J18:P18)</f>
        <v>9</v>
      </c>
      <c r="E37" s="25">
        <f xml:space="preserve"> SUM(C37:D37)</f>
        <v>20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xml:space="preserve"> SUM(C7:I7) + SUM(C19:I19)</f>
        <v>11</v>
      </c>
      <c r="D38" s="25">
        <f xml:space="preserve"> SUM(J7:P7) + SUM(J19:P19)</f>
        <v>8</v>
      </c>
      <c r="E38" s="25">
        <f xml:space="preserve"> SUM(C38:D38)</f>
        <v>19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xml:space="preserve"> SUM(C8:I8) + SUM(C20:I20)</f>
        <v>6</v>
      </c>
      <c r="D39" s="25">
        <f xml:space="preserve"> SUM(J8:P8) + SUM(J20:P20)</f>
        <v>5</v>
      </c>
      <c r="E39" s="25">
        <f xml:space="preserve"> SUM(C39:D39)</f>
        <v>11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28</v>
      </c>
      <c r="D41" s="21">
        <f t="shared" ref="D41" si="18" xml:space="preserve"> SUM(D37:D40)</f>
        <v>22</v>
      </c>
      <c r="E41" s="21">
        <f xml:space="preserve"> SUM(C41:D41)</f>
        <v>50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11</v>
      </c>
      <c r="D43" s="25">
        <f xml:space="preserve"> SUM(C37:D37) / D$36</f>
        <v>10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19" xml:space="preserve"> C38 / C$36</f>
        <v>11</v>
      </c>
      <c r="D44" s="25">
        <f t="shared" ref="D44:D46" si="20" xml:space="preserve"> SUM(C38:D38) / D$36</f>
        <v>9.5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19"/>
        <v>6</v>
      </c>
      <c r="D45" s="25">
        <f t="shared" si="20"/>
        <v>5.5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19"/>
        <v>0</v>
      </c>
      <c r="D46" s="25">
        <f t="shared" si="20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28</v>
      </c>
      <c r="D47" s="21">
        <f t="shared" ref="D47" si="21" xml:space="preserve"> SUM(D43:D46)</f>
        <v>25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0" sqref="C40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4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5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6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7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8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9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10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9"/>
  <sheetViews>
    <sheetView workbookViewId="0">
      <selection activeCell="F20" sqref="F20"/>
    </sheetView>
  </sheetViews>
  <sheetFormatPr defaultColWidth="8.85546875" defaultRowHeight="15" x14ac:dyDescent="0.25"/>
  <cols>
    <col min="1" max="1" width="17.7109375" bestFit="1" customWidth="1"/>
    <col min="2" max="2" width="14.28515625" customWidth="1"/>
  </cols>
  <sheetData>
    <row r="1" spans="1:3" ht="18.75" x14ac:dyDescent="0.3">
      <c r="B1" s="14" t="s">
        <v>26</v>
      </c>
    </row>
    <row r="3" spans="1:3" x14ac:dyDescent="0.25">
      <c r="A3" s="3" t="s">
        <v>1</v>
      </c>
      <c r="B3" s="40">
        <v>42254</v>
      </c>
    </row>
    <row r="4" spans="1:3" x14ac:dyDescent="0.25">
      <c r="A4" s="3" t="s">
        <v>25</v>
      </c>
      <c r="B4" s="40">
        <v>42380</v>
      </c>
    </row>
    <row r="5" spans="1:3" x14ac:dyDescent="0.25">
      <c r="A5" s="3"/>
    </row>
    <row r="6" spans="1:3" ht="15.75" thickBot="1" x14ac:dyDescent="0.3">
      <c r="B6" s="2" t="s">
        <v>0</v>
      </c>
      <c r="C6" s="2" t="s">
        <v>28</v>
      </c>
    </row>
    <row r="7" spans="1:3" ht="15.75" thickBot="1" x14ac:dyDescent="0.3">
      <c r="A7" s="3" t="s">
        <v>2</v>
      </c>
      <c r="B7" s="13" t="s">
        <v>46</v>
      </c>
      <c r="C7" s="16" t="s">
        <v>47</v>
      </c>
    </row>
    <row r="8" spans="1:3" ht="15.75" thickBot="1" x14ac:dyDescent="0.3">
      <c r="A8" s="3" t="s">
        <v>3</v>
      </c>
      <c r="B8" s="13" t="s">
        <v>48</v>
      </c>
      <c r="C8" s="16" t="s">
        <v>49</v>
      </c>
    </row>
    <row r="9" spans="1:3" ht="15.75" thickBot="1" x14ac:dyDescent="0.3">
      <c r="A9" s="3" t="s">
        <v>4</v>
      </c>
      <c r="B9" s="13" t="s">
        <v>50</v>
      </c>
      <c r="C9" s="16" t="s">
        <v>51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Product</vt:lpstr>
      <vt:lpstr>Sprint 0</vt:lpstr>
      <vt:lpstr>Sprint 1</vt:lpstr>
      <vt:lpstr>Sprint 2</vt:lpstr>
      <vt:lpstr>Sprint 3</vt:lpstr>
      <vt:lpstr>Sprint 4</vt:lpstr>
      <vt:lpstr>Sprint 5</vt:lpstr>
      <vt:lpstr>Sprint 6</vt:lpstr>
      <vt:lpstr>Sprint 7</vt:lpstr>
      <vt:lpstr>Sprint 8</vt:lpstr>
      <vt:lpstr>Sprint 9</vt:lpstr>
      <vt:lpstr>Sprint 10</vt:lpstr>
      <vt:lpstr>Setup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2015-11-16T18:15:38Z</dcterms:modified>
</cp:coreProperties>
</file>
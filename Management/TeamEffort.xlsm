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autoCompressPictures="0" defaultThemeVersion="124226"/>
  <bookViews>
    <workbookView xWindow="0" yWindow="0" windowWidth="9270" windowHeight="9420" tabRatio="893" activeTab="11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50" l="1"/>
  <c r="C4" i="49"/>
  <c r="C4" i="48"/>
  <c r="C4" i="47"/>
  <c r="C4" i="46"/>
  <c r="C4" i="45"/>
  <c r="C4" i="44"/>
  <c r="C4" i="42"/>
  <c r="D26" i="43"/>
  <c r="P19" i="1"/>
  <c r="Q19" i="1"/>
  <c r="R19" i="1"/>
  <c r="S19" i="1"/>
  <c r="T19" i="1"/>
  <c r="U19" i="1"/>
  <c r="V19" i="1"/>
  <c r="W19" i="1"/>
  <c r="X19" i="1"/>
  <c r="Y19" i="1"/>
  <c r="P20" i="1"/>
  <c r="Q20" i="1"/>
  <c r="R20" i="1"/>
  <c r="S20" i="1"/>
  <c r="T20" i="1"/>
  <c r="U20" i="1"/>
  <c r="V20" i="1"/>
  <c r="W20" i="1"/>
  <c r="X20" i="1"/>
  <c r="Y20" i="1"/>
  <c r="P21" i="1"/>
  <c r="Q21" i="1"/>
  <c r="R21" i="1"/>
  <c r="S21" i="1"/>
  <c r="T21" i="1"/>
  <c r="U21" i="1"/>
  <c r="V21" i="1"/>
  <c r="W21" i="1"/>
  <c r="X21" i="1"/>
  <c r="Y21" i="1"/>
  <c r="P22" i="1"/>
  <c r="Q22" i="1"/>
  <c r="R22" i="1"/>
  <c r="S22" i="1"/>
  <c r="T22" i="1"/>
  <c r="U22" i="1"/>
  <c r="V22" i="1"/>
  <c r="W22" i="1"/>
  <c r="X22" i="1"/>
  <c r="Y22" i="1"/>
  <c r="O22" i="1"/>
  <c r="O21" i="1"/>
  <c r="O20" i="1"/>
  <c r="O19" i="1"/>
  <c r="N22" i="1"/>
  <c r="N21" i="1"/>
  <c r="N20" i="1"/>
  <c r="N19" i="1"/>
  <c r="E19" i="1"/>
  <c r="F19" i="1"/>
  <c r="G19" i="1"/>
  <c r="H19" i="1"/>
  <c r="I19" i="1"/>
  <c r="J19" i="1"/>
  <c r="K19" i="1"/>
  <c r="L19" i="1"/>
  <c r="M19" i="1"/>
  <c r="E20" i="1"/>
  <c r="F20" i="1"/>
  <c r="G20" i="1"/>
  <c r="H20" i="1"/>
  <c r="I20" i="1"/>
  <c r="J20" i="1"/>
  <c r="K20" i="1"/>
  <c r="L20" i="1"/>
  <c r="M20" i="1"/>
  <c r="E21" i="1"/>
  <c r="F21" i="1"/>
  <c r="G21" i="1"/>
  <c r="H21" i="1"/>
  <c r="I21" i="1"/>
  <c r="J21" i="1"/>
  <c r="K21" i="1"/>
  <c r="L21" i="1"/>
  <c r="M21" i="1"/>
  <c r="E22" i="1"/>
  <c r="F22" i="1"/>
  <c r="G22" i="1"/>
  <c r="H22" i="1"/>
  <c r="I22" i="1"/>
  <c r="J22" i="1"/>
  <c r="K22" i="1"/>
  <c r="L22" i="1"/>
  <c r="M22" i="1"/>
  <c r="D22" i="1"/>
  <c r="D21" i="1"/>
  <c r="D20" i="1"/>
  <c r="D19" i="1"/>
  <c r="C4" i="43"/>
  <c r="C4" i="2"/>
  <c r="B2" i="43"/>
  <c r="B2" i="42"/>
  <c r="C4" i="15"/>
  <c r="D4" i="42"/>
  <c r="F8" i="1"/>
  <c r="F9" i="1"/>
  <c r="F10" i="1"/>
  <c r="B9" i="43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0" i="1"/>
  <c r="N11" i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K17" i="1"/>
  <c r="J13" i="1"/>
  <c r="J17" i="1"/>
  <c r="J8" i="1"/>
  <c r="K8" i="1"/>
  <c r="J9" i="1"/>
  <c r="K9" i="1"/>
  <c r="J10" i="1"/>
  <c r="K10" i="1"/>
  <c r="K7" i="1"/>
  <c r="J7" i="1"/>
  <c r="H14" i="1"/>
  <c r="I14" i="1"/>
  <c r="H15" i="1"/>
  <c r="I15" i="1"/>
  <c r="H16" i="1"/>
  <c r="H13" i="1"/>
  <c r="H17" i="1"/>
  <c r="I16" i="1"/>
  <c r="I13" i="1"/>
  <c r="H8" i="1"/>
  <c r="I8" i="1"/>
  <c r="H9" i="1"/>
  <c r="I9" i="1"/>
  <c r="I7" i="1"/>
  <c r="I10" i="1"/>
  <c r="I11" i="1"/>
  <c r="H10" i="1"/>
  <c r="H7" i="1"/>
  <c r="H11" i="1"/>
  <c r="F14" i="1"/>
  <c r="G14" i="1"/>
  <c r="F15" i="1"/>
  <c r="G15" i="1"/>
  <c r="G13" i="1"/>
  <c r="G16" i="1"/>
  <c r="G17" i="1"/>
  <c r="F16" i="1"/>
  <c r="F13" i="1"/>
  <c r="F17" i="1"/>
  <c r="G8" i="1"/>
  <c r="G9" i="1"/>
  <c r="G10" i="1"/>
  <c r="G7" i="1"/>
  <c r="F7" i="1"/>
  <c r="C14" i="1"/>
  <c r="D14" i="1"/>
  <c r="E14" i="1"/>
  <c r="C15" i="1"/>
  <c r="D15" i="1"/>
  <c r="E15" i="1"/>
  <c r="E13" i="1"/>
  <c r="E16" i="1"/>
  <c r="E17" i="1"/>
  <c r="C16" i="1"/>
  <c r="C13" i="1"/>
  <c r="C17" i="1"/>
  <c r="D16" i="1"/>
  <c r="D13" i="1"/>
  <c r="E8" i="1"/>
  <c r="E9" i="1"/>
  <c r="E10" i="1"/>
  <c r="E7" i="1"/>
  <c r="D8" i="1"/>
  <c r="D9" i="1"/>
  <c r="D10" i="1"/>
  <c r="D7" i="1"/>
  <c r="C8" i="1"/>
  <c r="C20" i="1"/>
  <c r="C9" i="1"/>
  <c r="C21" i="1"/>
  <c r="C10" i="1"/>
  <c r="C22" i="1"/>
  <c r="C7" i="1"/>
  <c r="C19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C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C31" i="43"/>
  <c r="C31" i="49"/>
  <c r="C30" i="50"/>
  <c r="C16" i="50"/>
  <c r="C31" i="45"/>
  <c r="C31" i="47"/>
  <c r="C16" i="42"/>
  <c r="C33" i="42"/>
  <c r="C16" i="43"/>
  <c r="C32" i="45"/>
  <c r="C28" i="46"/>
  <c r="D17" i="1"/>
  <c r="V17" i="1"/>
  <c r="R17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G11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<sst xmlns="http://schemas.openxmlformats.org/spreadsheetml/2006/main" count="294" uniqueCount="52">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</sst>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</c:v>
                </c:pt>
                <c:pt idx="1">
                  <c:v>3.25</c:v>
                </c:pt>
                <c:pt idx="2">
                  <c:v>6.5</c:v>
                </c:pt>
                <c:pt idx="3">
                  <c:v>4.5</c:v>
                </c:pt>
                <c:pt idx="4">
                  <c:v>7.5</c:v>
                </c:pt>
                <c:pt idx="5">
                  <c:v>12.067</c:v>
                </c:pt>
                <c:pt idx="6">
                  <c:v>28.003</c:v>
                </c:pt>
                <c:pt idx="7">
                  <c:v>28</c:v>
                </c:pt>
                <c:pt idx="8">
                  <c:v>22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901584"/>
        <c:axId val="3990214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13.936666666666667</c:v>
                </c:pt>
                <c:pt idx="3">
                  <c:v>13.14</c:v>
                </c:pt>
                <c:pt idx="4">
                  <c:v>12.612</c:v>
                </c:pt>
                <c:pt idx="5">
                  <c:v>12.521166666666668</c:v>
                </c:pt>
                <c:pt idx="6">
                  <c:v>14.732857142857144</c:v>
                </c:pt>
                <c:pt idx="7">
                  <c:v>16.391249999999999</c:v>
                </c:pt>
                <c:pt idx="8">
                  <c:v>17.014444444444443</c:v>
                </c:pt>
                <c:pt idx="9">
                  <c:v>15.312999999999999</c:v>
                </c:pt>
                <c:pt idx="10">
                  <c:v>13.92090909090909</c:v>
                </c:pt>
                <c:pt idx="11">
                  <c:v>12.760833333333332</c:v>
                </c:pt>
                <c:pt idx="12">
                  <c:v>11.779230769230768</c:v>
                </c:pt>
                <c:pt idx="13">
                  <c:v>10.937857142857142</c:v>
                </c:pt>
                <c:pt idx="14">
                  <c:v>10.208666666666666</c:v>
                </c:pt>
                <c:pt idx="15">
                  <c:v>9.5706249999999997</c:v>
                </c:pt>
                <c:pt idx="16">
                  <c:v>9.0076470588235296</c:v>
                </c:pt>
                <c:pt idx="17">
                  <c:v>8.5072222222222216</c:v>
                </c:pt>
                <c:pt idx="18">
                  <c:v>8.0594736842105252</c:v>
                </c:pt>
                <c:pt idx="19">
                  <c:v>7.6564999999999994</c:v>
                </c:pt>
                <c:pt idx="20">
                  <c:v>7.2919047619047621</c:v>
                </c:pt>
                <c:pt idx="21">
                  <c:v>6.960454545454545</c:v>
                </c:pt>
                <c:pt idx="22">
                  <c:v>6.6578260869565211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01584"/>
        <c:axId val="39902144"/>
      </c:lineChart>
      <c:catAx>
        <c:axId val="39901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02144"/>
        <c:crosses val="autoZero"/>
        <c:auto val="0"/>
        <c:lblAlgn val="ctr"/>
        <c:lblOffset val="100"/>
        <c:noMultiLvlLbl val="0"/>
      </c:catAx>
      <c:valAx>
        <c:axId val="3990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0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4</c:v>
                </c:pt>
                <c:pt idx="2">
                  <c:v>3.5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10.5</c:v>
                </c:pt>
                <c:pt idx="7">
                  <c:v>11</c:v>
                </c:pt>
                <c:pt idx="8">
                  <c:v>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9907184"/>
        <c:axId val="19157024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</c:v>
                </c:pt>
                <c:pt idx="1">
                  <c:v>3.5</c:v>
                </c:pt>
                <c:pt idx="2">
                  <c:v>3.8333333333333335</c:v>
                </c:pt>
                <c:pt idx="3">
                  <c:v>3.125</c:v>
                </c:pt>
                <c:pt idx="4">
                  <c:v>3.7</c:v>
                </c:pt>
                <c:pt idx="5">
                  <c:v>3.9166666666666665</c:v>
                </c:pt>
                <c:pt idx="6">
                  <c:v>4.8571428571428568</c:v>
                </c:pt>
                <c:pt idx="7">
                  <c:v>5.625</c:v>
                </c:pt>
                <c:pt idx="8">
                  <c:v>6</c:v>
                </c:pt>
                <c:pt idx="9">
                  <c:v>5.4</c:v>
                </c:pt>
                <c:pt idx="10">
                  <c:v>4.9090909090909092</c:v>
                </c:pt>
                <c:pt idx="11">
                  <c:v>4.5</c:v>
                </c:pt>
                <c:pt idx="12">
                  <c:v>4.1538461538461542</c:v>
                </c:pt>
                <c:pt idx="13">
                  <c:v>3.8571428571428572</c:v>
                </c:pt>
                <c:pt idx="14">
                  <c:v>3.6</c:v>
                </c:pt>
                <c:pt idx="15">
                  <c:v>3.375</c:v>
                </c:pt>
                <c:pt idx="16">
                  <c:v>3.1764705882352939</c:v>
                </c:pt>
                <c:pt idx="17">
                  <c:v>3</c:v>
                </c:pt>
                <c:pt idx="18">
                  <c:v>2.8421052631578947</c:v>
                </c:pt>
                <c:pt idx="19">
                  <c:v>2.7</c:v>
                </c:pt>
                <c:pt idx="20">
                  <c:v>2.5714285714285716</c:v>
                </c:pt>
                <c:pt idx="21">
                  <c:v>2.4545454545454546</c:v>
                </c:pt>
                <c:pt idx="22">
                  <c:v>2.347826086956522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07184"/>
        <c:axId val="191570240"/>
      </c:lineChart>
      <c:catAx>
        <c:axId val="39907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70240"/>
        <c:crosses val="autoZero"/>
        <c:auto val="0"/>
        <c:lblAlgn val="ctr"/>
        <c:lblOffset val="100"/>
        <c:noMultiLvlLbl val="0"/>
      </c:catAx>
      <c:valAx>
        <c:axId val="191570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071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4.9000000000000004</c:v>
                </c:pt>
                <c:pt idx="3">
                  <c:v>5.75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1.5</c:v>
                </c:pt>
                <c:pt idx="5">
                  <c:v>2</c:v>
                </c:pt>
                <c:pt idx="6">
                  <c:v>12.003</c:v>
                </c:pt>
                <c:pt idx="7">
                  <c:v>11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966848"/>
        <c:axId val="19396740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5.83</c:v>
                </c:pt>
                <c:pt idx="2">
                  <c:v>5.6866666666666674</c:v>
                </c:pt>
                <c:pt idx="3">
                  <c:v>5.8275000000000006</c:v>
                </c:pt>
                <c:pt idx="4">
                  <c:v>5.2620000000000005</c:v>
                </c:pt>
                <c:pt idx="5">
                  <c:v>4.7183333333333337</c:v>
                </c:pt>
                <c:pt idx="6">
                  <c:v>5.7590000000000003</c:v>
                </c:pt>
                <c:pt idx="7">
                  <c:v>6.4141250000000003</c:v>
                </c:pt>
                <c:pt idx="8">
                  <c:v>6.5903333333333336</c:v>
                </c:pt>
                <c:pt idx="9">
                  <c:v>5.9313000000000002</c:v>
                </c:pt>
                <c:pt idx="10">
                  <c:v>5.3920909090909097</c:v>
                </c:pt>
                <c:pt idx="11">
                  <c:v>4.9427500000000002</c:v>
                </c:pt>
                <c:pt idx="12">
                  <c:v>4.5625384615384617</c:v>
                </c:pt>
                <c:pt idx="13">
                  <c:v>4.2366428571428569</c:v>
                </c:pt>
                <c:pt idx="14">
                  <c:v>3.9542000000000002</c:v>
                </c:pt>
                <c:pt idx="15">
                  <c:v>3.7070625000000001</c:v>
                </c:pt>
                <c:pt idx="16">
                  <c:v>3.4890000000000003</c:v>
                </c:pt>
                <c:pt idx="17">
                  <c:v>3.2951666666666668</c:v>
                </c:pt>
                <c:pt idx="18">
                  <c:v>3.1217368421052631</c:v>
                </c:pt>
                <c:pt idx="19">
                  <c:v>2.9656500000000001</c:v>
                </c:pt>
                <c:pt idx="20">
                  <c:v>2.8244285714285717</c:v>
                </c:pt>
                <c:pt idx="21">
                  <c:v>2.6960454545454549</c:v>
                </c:pt>
                <c:pt idx="22">
                  <c:v>2.5788260869565218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66848"/>
        <c:axId val="193967408"/>
      </c:lineChart>
      <c:catAx>
        <c:axId val="19396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67408"/>
        <c:crosses val="autoZero"/>
        <c:auto val="0"/>
        <c:lblAlgn val="ctr"/>
        <c:lblOffset val="100"/>
        <c:noMultiLvlLbl val="0"/>
      </c:catAx>
      <c:valAx>
        <c:axId val="1939674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668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</c:v>
                </c:pt>
                <c:pt idx="1">
                  <c:v>1.75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5.0670000000000002</c:v>
                </c:pt>
                <c:pt idx="6">
                  <c:v>5.5</c:v>
                </c:pt>
                <c:pt idx="7">
                  <c:v>6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550688"/>
        <c:axId val="19555124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2.125</c:v>
                </c:pt>
                <c:pt idx="2">
                  <c:v>4.416666666666667</c:v>
                </c:pt>
                <c:pt idx="3">
                  <c:v>4.1875</c:v>
                </c:pt>
                <c:pt idx="4">
                  <c:v>3.65</c:v>
                </c:pt>
                <c:pt idx="5">
                  <c:v>3.8861666666666665</c:v>
                </c:pt>
                <c:pt idx="6">
                  <c:v>4.116714285714286</c:v>
                </c:pt>
                <c:pt idx="7">
                  <c:v>4.352125</c:v>
                </c:pt>
                <c:pt idx="8">
                  <c:v>4.4241111111111113</c:v>
                </c:pt>
                <c:pt idx="9">
                  <c:v>3.9817</c:v>
                </c:pt>
                <c:pt idx="10">
                  <c:v>3.6197272727272729</c:v>
                </c:pt>
                <c:pt idx="11">
                  <c:v>3.3180833333333335</c:v>
                </c:pt>
                <c:pt idx="12">
                  <c:v>3.062846153846154</c:v>
                </c:pt>
                <c:pt idx="13">
                  <c:v>2.8440714285714286</c:v>
                </c:pt>
                <c:pt idx="14">
                  <c:v>2.6544666666666665</c:v>
                </c:pt>
                <c:pt idx="15">
                  <c:v>2.4885625</c:v>
                </c:pt>
                <c:pt idx="16">
                  <c:v>2.3421764705882353</c:v>
                </c:pt>
                <c:pt idx="17">
                  <c:v>2.2120555555555557</c:v>
                </c:pt>
                <c:pt idx="18">
                  <c:v>2.0956315789473683</c:v>
                </c:pt>
                <c:pt idx="19">
                  <c:v>1.99085</c:v>
                </c:pt>
                <c:pt idx="20">
                  <c:v>1.896047619047619</c:v>
                </c:pt>
                <c:pt idx="21">
                  <c:v>1.8098636363636365</c:v>
                </c:pt>
                <c:pt idx="22">
                  <c:v>1.7311739130434782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550688"/>
        <c:axId val="195551248"/>
      </c:lineChart>
      <c:catAx>
        <c:axId val="195550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51248"/>
        <c:crosses val="autoZero"/>
        <c:auto val="0"/>
        <c:lblAlgn val="ctr"/>
        <c:lblOffset val="100"/>
        <c:noMultiLvlLbl val="0"/>
      </c:catAx>
      <c:valAx>
        <c:axId val="1955512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50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969648"/>
        <c:axId val="19396908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69648"/>
        <c:axId val="193969088"/>
      </c:lineChart>
      <c:catAx>
        <c:axId val="193969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69088"/>
        <c:crosses val="autoZero"/>
        <c:auto val="0"/>
        <c:lblAlgn val="ctr"/>
        <c:lblOffset val="100"/>
        <c:noMultiLvlLbl val="0"/>
      </c:catAx>
      <c:valAx>
        <c:axId val="193969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696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0.58000000000000007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3</c:v>
                </c:pt>
                <c:pt idx="10">
                  <c:v>3.75</c:v>
                </c:pt>
                <c:pt idx="11">
                  <c:v>2</c:v>
                </c:pt>
                <c:pt idx="12">
                  <c:v>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3.5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1.5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643648"/>
        <c:axId val="19464420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0.29000000000000004</c:v>
                </c:pt>
                <c:pt idx="2">
                  <c:v>0.52666666666666673</c:v>
                </c:pt>
                <c:pt idx="3">
                  <c:v>1.4775</c:v>
                </c:pt>
                <c:pt idx="4">
                  <c:v>1.1819999999999999</c:v>
                </c:pt>
                <c:pt idx="5">
                  <c:v>0.98499999999999999</c:v>
                </c:pt>
                <c:pt idx="6">
                  <c:v>0.84428571428571431</c:v>
                </c:pt>
                <c:pt idx="7">
                  <c:v>0.73875000000000002</c:v>
                </c:pt>
                <c:pt idx="8">
                  <c:v>1.1566666666666667</c:v>
                </c:pt>
                <c:pt idx="9">
                  <c:v>1.4410000000000001</c:v>
                </c:pt>
                <c:pt idx="10">
                  <c:v>1.6736363636363638</c:v>
                </c:pt>
                <c:pt idx="11">
                  <c:v>1.7008333333333334</c:v>
                </c:pt>
                <c:pt idx="12">
                  <c:v>1.57</c:v>
                </c:pt>
                <c:pt idx="13">
                  <c:v>1.6364285714285713</c:v>
                </c:pt>
                <c:pt idx="14">
                  <c:v>1.954</c:v>
                </c:pt>
                <c:pt idx="15">
                  <c:v>2.0818750000000001</c:v>
                </c:pt>
                <c:pt idx="16">
                  <c:v>2.0770588235294118</c:v>
                </c:pt>
                <c:pt idx="17">
                  <c:v>2.1005555555555557</c:v>
                </c:pt>
                <c:pt idx="18">
                  <c:v>1.9900000000000002</c:v>
                </c:pt>
                <c:pt idx="19">
                  <c:v>2.0905</c:v>
                </c:pt>
                <c:pt idx="20">
                  <c:v>1.9909523809523813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643648"/>
        <c:axId val="194644208"/>
      </c:lineChart>
      <c:catAx>
        <c:axId val="194643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4208"/>
        <c:crosses val="autoZero"/>
        <c:auto val="1"/>
        <c:lblAlgn val="ctr"/>
        <c:lblOffset val="100"/>
        <c:noMultiLvlLbl val="1"/>
      </c:catAx>
      <c:valAx>
        <c:axId val="19464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648688"/>
        <c:axId val="19464924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0.45454545454545453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0.47222222222222221</c:v>
                </c:pt>
                <c:pt idx="18">
                  <c:v>0.44736842105263158</c:v>
                </c:pt>
                <c:pt idx="19">
                  <c:v>0.57499999999999996</c:v>
                </c:pt>
                <c:pt idx="20">
                  <c:v>0.54761904761904767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648688"/>
        <c:axId val="194649248"/>
      </c:lineChart>
      <c:catAx>
        <c:axId val="194648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9248"/>
        <c:crosses val="autoZero"/>
        <c:auto val="1"/>
        <c:lblAlgn val="ctr"/>
        <c:lblOffset val="100"/>
        <c:noMultiLvlLbl val="1"/>
      </c:catAx>
      <c:valAx>
        <c:axId val="194649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648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0.33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2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763024"/>
        <c:axId val="19376358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0.16500000000000001</c:v>
                </c:pt>
                <c:pt idx="2">
                  <c:v>0.44333333333333336</c:v>
                </c:pt>
                <c:pt idx="3">
                  <c:v>0.66500000000000004</c:v>
                </c:pt>
                <c:pt idx="4">
                  <c:v>0.53200000000000003</c:v>
                </c:pt>
                <c:pt idx="5">
                  <c:v>0.44333333333333336</c:v>
                </c:pt>
                <c:pt idx="6">
                  <c:v>0.38</c:v>
                </c:pt>
                <c:pt idx="7">
                  <c:v>0.33250000000000002</c:v>
                </c:pt>
                <c:pt idx="8">
                  <c:v>0.62888888888888894</c:v>
                </c:pt>
                <c:pt idx="9">
                  <c:v>0.76600000000000001</c:v>
                </c:pt>
                <c:pt idx="10">
                  <c:v>0.83272727272727276</c:v>
                </c:pt>
                <c:pt idx="11">
                  <c:v>0.76333333333333331</c:v>
                </c:pt>
                <c:pt idx="12">
                  <c:v>0.70461538461538464</c:v>
                </c:pt>
                <c:pt idx="13">
                  <c:v>0.83285714285714285</c:v>
                </c:pt>
                <c:pt idx="14">
                  <c:v>0.90400000000000003</c:v>
                </c:pt>
                <c:pt idx="15">
                  <c:v>0.91</c:v>
                </c:pt>
                <c:pt idx="16">
                  <c:v>0.91529411764705881</c:v>
                </c:pt>
                <c:pt idx="17">
                  <c:v>0.94777777777777794</c:v>
                </c:pt>
                <c:pt idx="18">
                  <c:v>0.89789473684210541</c:v>
                </c:pt>
                <c:pt idx="19">
                  <c:v>0.85300000000000009</c:v>
                </c:pt>
                <c:pt idx="20">
                  <c:v>0.81238095238095254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763024"/>
        <c:axId val="193763584"/>
      </c:lineChart>
      <c:catAx>
        <c:axId val="193763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63584"/>
        <c:crosses val="autoZero"/>
        <c:auto val="1"/>
        <c:lblAlgn val="ctr"/>
        <c:lblOffset val="100"/>
        <c:noMultiLvlLbl val="1"/>
      </c:catAx>
      <c:valAx>
        <c:axId val="193763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630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136320"/>
        <c:axId val="19513688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8.3333333333333329E-2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0.20833333333333334</c:v>
                </c:pt>
                <c:pt idx="6">
                  <c:v>0.17857142857142858</c:v>
                </c:pt>
                <c:pt idx="7">
                  <c:v>0.15625</c:v>
                </c:pt>
                <c:pt idx="8">
                  <c:v>0.19444444444444445</c:v>
                </c:pt>
                <c:pt idx="9">
                  <c:v>0.375</c:v>
                </c:pt>
                <c:pt idx="10">
                  <c:v>0.38636363636363635</c:v>
                </c:pt>
                <c:pt idx="11">
                  <c:v>0.35416666666666669</c:v>
                </c:pt>
                <c:pt idx="12">
                  <c:v>0.32692307692307693</c:v>
                </c:pt>
                <c:pt idx="13">
                  <c:v>0.30357142857142855</c:v>
                </c:pt>
                <c:pt idx="14">
                  <c:v>0.55000000000000004</c:v>
                </c:pt>
                <c:pt idx="15">
                  <c:v>0.640625</c:v>
                </c:pt>
                <c:pt idx="16">
                  <c:v>0.66176470588235292</c:v>
                </c:pt>
                <c:pt idx="17">
                  <c:v>0.68055555555555558</c:v>
                </c:pt>
                <c:pt idx="18">
                  <c:v>0.64473684210526316</c:v>
                </c:pt>
                <c:pt idx="19">
                  <c:v>0.66249999999999998</c:v>
                </c:pt>
                <c:pt idx="20">
                  <c:v>0.63095238095238093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136320"/>
        <c:axId val="195136880"/>
      </c:lineChart>
      <c:catAx>
        <c:axId val="195136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36880"/>
        <c:crosses val="autoZero"/>
        <c:auto val="1"/>
        <c:lblAlgn val="ctr"/>
        <c:lblOffset val="100"/>
        <c:noMultiLvlLbl val="1"/>
      </c:catAx>
      <c:valAx>
        <c:axId val="195136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1363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621232"/>
        <c:axId val="19562179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621232"/>
        <c:axId val="195621792"/>
      </c:lineChart>
      <c:catAx>
        <c:axId val="195621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1792"/>
        <c:crosses val="autoZero"/>
        <c:auto val="1"/>
        <c:lblAlgn val="ctr"/>
        <c:lblOffset val="100"/>
        <c:noMultiLvlLbl val="1"/>
      </c:catAx>
      <c:valAx>
        <c:axId val="195621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12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627392"/>
        <c:axId val="195627952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</c:v>
                </c:pt>
                <c:pt idx="1">
                  <c:v>3.125</c:v>
                </c:pt>
                <c:pt idx="2">
                  <c:v>2.0833333333333335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1.2083333333333333</c:v>
                </c:pt>
                <c:pt idx="6">
                  <c:v>1.5357142857142858</c:v>
                </c:pt>
                <c:pt idx="7">
                  <c:v>1.90625</c:v>
                </c:pt>
                <c:pt idx="8">
                  <c:v>1.9166666666666665</c:v>
                </c:pt>
                <c:pt idx="9">
                  <c:v>1.7749999999999999</c:v>
                </c:pt>
                <c:pt idx="10">
                  <c:v>1.6136363636363638</c:v>
                </c:pt>
                <c:pt idx="11">
                  <c:v>1.4791666666666667</c:v>
                </c:pt>
                <c:pt idx="12">
                  <c:v>1.3653846153846154</c:v>
                </c:pt>
                <c:pt idx="13">
                  <c:v>1.5178571428571428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627392"/>
        <c:axId val="195627952"/>
      </c:lineChart>
      <c:catAx>
        <c:axId val="195627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7952"/>
        <c:crosses val="autoZero"/>
        <c:auto val="0"/>
        <c:lblAlgn val="ctr"/>
        <c:lblOffset val="100"/>
        <c:noMultiLvlLbl val="1"/>
      </c:catAx>
      <c:valAx>
        <c:axId val="19562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2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809824"/>
        <c:axId val="19581038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0.6875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809824"/>
        <c:axId val="195810384"/>
      </c:lineChart>
      <c:catAx>
        <c:axId val="195809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10384"/>
        <c:crosses val="autoZero"/>
        <c:auto val="1"/>
        <c:lblAlgn val="ctr"/>
        <c:lblOffset val="100"/>
        <c:noMultiLvlLbl val="1"/>
      </c:catAx>
      <c:valAx>
        <c:axId val="1958103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098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878272"/>
        <c:axId val="19587883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1.1499999999999999</c:v>
                </c:pt>
                <c:pt idx="5">
                  <c:v>0.95833333333333337</c:v>
                </c:pt>
                <c:pt idx="6">
                  <c:v>0.8928571428571429</c:v>
                </c:pt>
                <c:pt idx="7">
                  <c:v>0.78125</c:v>
                </c:pt>
                <c:pt idx="8">
                  <c:v>0.86111111111111116</c:v>
                </c:pt>
                <c:pt idx="9">
                  <c:v>0.77500000000000002</c:v>
                </c:pt>
                <c:pt idx="10">
                  <c:v>0.70454545454545459</c:v>
                </c:pt>
                <c:pt idx="11">
                  <c:v>0.64583333333333337</c:v>
                </c:pt>
                <c:pt idx="12">
                  <c:v>0.59615384615384615</c:v>
                </c:pt>
                <c:pt idx="13">
                  <c:v>0.6607142857142857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878272"/>
        <c:axId val="195878832"/>
      </c:lineChart>
      <c:catAx>
        <c:axId val="195878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78832"/>
        <c:crosses val="autoZero"/>
        <c:auto val="1"/>
        <c:lblAlgn val="ctr"/>
        <c:lblOffset val="100"/>
        <c:noMultiLvlLbl val="1"/>
      </c:catAx>
      <c:valAx>
        <c:axId val="1958788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78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6002672"/>
        <c:axId val="19600323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0.3888888888888889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0.35714285714285715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002672"/>
        <c:axId val="196003232"/>
      </c:lineChart>
      <c:catAx>
        <c:axId val="196002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03232"/>
        <c:crosses val="autoZero"/>
        <c:auto val="1"/>
        <c:lblAlgn val="ctr"/>
        <c:lblOffset val="100"/>
        <c:noMultiLvlLbl val="1"/>
      </c:catAx>
      <c:valAx>
        <c:axId val="1960032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026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6008272"/>
        <c:axId val="19600883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008272"/>
        <c:axId val="196008832"/>
      </c:lineChart>
      <c:catAx>
        <c:axId val="196008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08832"/>
        <c:crosses val="autoZero"/>
        <c:auto val="1"/>
        <c:lblAlgn val="ctr"/>
        <c:lblOffset val="100"/>
        <c:noMultiLvlLbl val="1"/>
      </c:catAx>
      <c:valAx>
        <c:axId val="1960088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008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2</c:v>
                </c:pt>
                <c:pt idx="6">
                  <c:v>6.0670000000000002</c:v>
                </c:pt>
                <c:pt idx="7">
                  <c:v>7.0170000000000003</c:v>
                </c:pt>
                <c:pt idx="8">
                  <c:v>6.4829999999999997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9.5030000000000001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6595968"/>
        <c:axId val="196596528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1</c:v>
                </c:pt>
                <c:pt idx="6">
                  <c:v>1.7238571428571428</c:v>
                </c:pt>
                <c:pt idx="7">
                  <c:v>2.3855</c:v>
                </c:pt>
                <c:pt idx="8">
                  <c:v>2.8407777777777778</c:v>
                </c:pt>
                <c:pt idx="9">
                  <c:v>2.5567000000000002</c:v>
                </c:pt>
                <c:pt idx="10">
                  <c:v>2.597</c:v>
                </c:pt>
                <c:pt idx="11">
                  <c:v>2.3805833333333335</c:v>
                </c:pt>
                <c:pt idx="12">
                  <c:v>2.3513076923076923</c:v>
                </c:pt>
                <c:pt idx="13">
                  <c:v>2.8621428571428571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95968"/>
        <c:axId val="196596528"/>
      </c:lineChart>
      <c:catAx>
        <c:axId val="196595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96528"/>
        <c:crosses val="autoZero"/>
        <c:auto val="0"/>
        <c:lblAlgn val="ctr"/>
        <c:lblOffset val="100"/>
        <c:noMultiLvlLbl val="1"/>
      </c:catAx>
      <c:valAx>
        <c:axId val="19659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9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0</c:v>
                </c:pt>
                <c:pt idx="6">
                  <c:v>1</c:v>
                </c:pt>
                <c:pt idx="7">
                  <c:v>4.5170000000000003</c:v>
                </c:pt>
                <c:pt idx="8">
                  <c:v>0.48299999999999998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000864"/>
        <c:axId val="19500142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0.66666666666666663</c:v>
                </c:pt>
                <c:pt idx="6">
                  <c:v>0.7142857142857143</c:v>
                </c:pt>
                <c:pt idx="7">
                  <c:v>1.1896249999999999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1.1071428571428572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5000864"/>
        <c:axId val="195001424"/>
      </c:lineChart>
      <c:catAx>
        <c:axId val="195000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001424"/>
        <c:crosses val="autoZero"/>
        <c:auto val="1"/>
        <c:lblAlgn val="ctr"/>
        <c:lblOffset val="100"/>
        <c:noMultiLvlLbl val="1"/>
      </c:catAx>
      <c:valAx>
        <c:axId val="1950014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0008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6768672"/>
        <c:axId val="19676923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1.0002142857142857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768672"/>
        <c:axId val="196769232"/>
      </c:lineChart>
      <c:catAx>
        <c:axId val="196768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69232"/>
        <c:crosses val="autoZero"/>
        <c:auto val="1"/>
        <c:lblAlgn val="ctr"/>
        <c:lblOffset val="100"/>
        <c:noMultiLvlLbl val="1"/>
      </c:catAx>
      <c:valAx>
        <c:axId val="1967692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686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5.0670000000000002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6774832"/>
        <c:axId val="19677539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0.72385714285714287</c:v>
                </c:pt>
                <c:pt idx="7">
                  <c:v>0.69587500000000002</c:v>
                </c:pt>
                <c:pt idx="8">
                  <c:v>0.61855555555555553</c:v>
                </c:pt>
                <c:pt idx="9">
                  <c:v>0.55669999999999997</c:v>
                </c:pt>
                <c:pt idx="10">
                  <c:v>0.77881818181818185</c:v>
                </c:pt>
                <c:pt idx="11">
                  <c:v>0.71391666666666664</c:v>
                </c:pt>
                <c:pt idx="12">
                  <c:v>0.81284615384615388</c:v>
                </c:pt>
                <c:pt idx="13">
                  <c:v>0.75478571428571428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774832"/>
        <c:axId val="196775392"/>
      </c:lineChart>
      <c:catAx>
        <c:axId val="196774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75392"/>
        <c:crosses val="autoZero"/>
        <c:auto val="1"/>
        <c:lblAlgn val="ctr"/>
        <c:lblOffset val="100"/>
        <c:noMultiLvlLbl val="1"/>
      </c:catAx>
      <c:valAx>
        <c:axId val="1967753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7748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0663808"/>
        <c:axId val="220664368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663808"/>
        <c:axId val="220664368"/>
      </c:lineChart>
      <c:catAx>
        <c:axId val="220663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664368"/>
        <c:crosses val="autoZero"/>
        <c:auto val="1"/>
        <c:lblAlgn val="ctr"/>
        <c:lblOffset val="100"/>
        <c:noMultiLvlLbl val="1"/>
      </c:catAx>
      <c:valAx>
        <c:axId val="220664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6638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0.25</c:v>
                </c:pt>
                <c:pt idx="1">
                  <c:v>9.75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9</c:v>
                </c:pt>
                <c:pt idx="7">
                  <c:v>4</c:v>
                </c:pt>
                <c:pt idx="8">
                  <c:v>6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0669968"/>
        <c:axId val="220670528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0.25</c:v>
                </c:pt>
                <c:pt idx="1">
                  <c:v>5</c:v>
                </c:pt>
                <c:pt idx="2">
                  <c:v>4.3333333333333339</c:v>
                </c:pt>
                <c:pt idx="3">
                  <c:v>3.25</c:v>
                </c:pt>
                <c:pt idx="4">
                  <c:v>3.4000000000000004</c:v>
                </c:pt>
                <c:pt idx="5">
                  <c:v>3.166666666666667</c:v>
                </c:pt>
                <c:pt idx="6">
                  <c:v>4</c:v>
                </c:pt>
                <c:pt idx="7">
                  <c:v>4</c:v>
                </c:pt>
                <c:pt idx="8">
                  <c:v>4.2222222222222223</c:v>
                </c:pt>
                <c:pt idx="9">
                  <c:v>4.3000000000000007</c:v>
                </c:pt>
                <c:pt idx="10">
                  <c:v>3.9090909090909092</c:v>
                </c:pt>
                <c:pt idx="11">
                  <c:v>3.583333333333333</c:v>
                </c:pt>
                <c:pt idx="12">
                  <c:v>3.4615384615384617</c:v>
                </c:pt>
                <c:pt idx="13">
                  <c:v>3.5714285714285712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669968"/>
        <c:axId val="220670528"/>
      </c:lineChart>
      <c:catAx>
        <c:axId val="220669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670528"/>
        <c:crosses val="autoZero"/>
        <c:auto val="0"/>
        <c:lblAlgn val="ctr"/>
        <c:lblOffset val="100"/>
        <c:noMultiLvlLbl val="1"/>
      </c:catAx>
      <c:valAx>
        <c:axId val="22067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66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0.25</c:v>
                </c:pt>
                <c:pt idx="1">
                  <c:v>2.75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0675568"/>
        <c:axId val="19641124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0.25</c:v>
                </c:pt>
                <c:pt idx="1">
                  <c:v>1.5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1.5714285714285714</c:v>
                </c:pt>
                <c:pt idx="7">
                  <c:v>1.75</c:v>
                </c:pt>
                <c:pt idx="8">
                  <c:v>1.6666666666666667</c:v>
                </c:pt>
                <c:pt idx="9">
                  <c:v>1.8</c:v>
                </c:pt>
                <c:pt idx="10">
                  <c:v>1.6363636363636365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1.4285714285714286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675568"/>
        <c:axId val="196411248"/>
      </c:lineChart>
      <c:catAx>
        <c:axId val="220675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11248"/>
        <c:crosses val="autoZero"/>
        <c:auto val="1"/>
        <c:lblAlgn val="ctr"/>
        <c:lblOffset val="100"/>
        <c:noMultiLvlLbl val="1"/>
      </c:catAx>
      <c:valAx>
        <c:axId val="196411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6755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6416288"/>
        <c:axId val="19641684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2.5</c:v>
                </c:pt>
                <c:pt idx="2">
                  <c:v>1.6666666666666667</c:v>
                </c:pt>
                <c:pt idx="3">
                  <c:v>1.25</c:v>
                </c:pt>
                <c:pt idx="4">
                  <c:v>1</c:v>
                </c:pt>
                <c:pt idx="5">
                  <c:v>1.1666666666666667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1.7777777777777777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1.3571428571428572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416288"/>
        <c:axId val="196416848"/>
      </c:lineChart>
      <c:catAx>
        <c:axId val="196416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16848"/>
        <c:crosses val="autoZero"/>
        <c:auto val="1"/>
        <c:lblAlgn val="ctr"/>
        <c:lblOffset val="100"/>
        <c:noMultiLvlLbl val="1"/>
      </c:catAx>
      <c:valAx>
        <c:axId val="196416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162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6422448"/>
        <c:axId val="19642300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0.9</c:v>
                </c:pt>
                <c:pt idx="10">
                  <c:v>0.81818181818181823</c:v>
                </c:pt>
                <c:pt idx="11">
                  <c:v>0.75</c:v>
                </c:pt>
                <c:pt idx="12">
                  <c:v>0.84615384615384615</c:v>
                </c:pt>
                <c:pt idx="13">
                  <c:v>0.7857142857142857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422448"/>
        <c:axId val="196423008"/>
      </c:lineChart>
      <c:catAx>
        <c:axId val="19642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23008"/>
        <c:crosses val="autoZero"/>
        <c:auto val="1"/>
        <c:lblAlgn val="ctr"/>
        <c:lblOffset val="100"/>
        <c:noMultiLvlLbl val="1"/>
      </c:catAx>
      <c:valAx>
        <c:axId val="196423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4224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1029120"/>
        <c:axId val="22102968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029120"/>
        <c:axId val="221029680"/>
      </c:lineChart>
      <c:catAx>
        <c:axId val="221029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029680"/>
        <c:crosses val="autoZero"/>
        <c:auto val="1"/>
        <c:lblAlgn val="ctr"/>
        <c:lblOffset val="100"/>
        <c:noMultiLvlLbl val="1"/>
      </c:catAx>
      <c:valAx>
        <c:axId val="221029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0291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1035280"/>
        <c:axId val="221035840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035280"/>
        <c:axId val="221035840"/>
      </c:lineChart>
      <c:catAx>
        <c:axId val="22103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035840"/>
        <c:crosses val="autoZero"/>
        <c:auto val="0"/>
        <c:lblAlgn val="ctr"/>
        <c:lblOffset val="100"/>
        <c:noMultiLvlLbl val="1"/>
      </c:catAx>
      <c:valAx>
        <c:axId val="22103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03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1040880"/>
        <c:axId val="22104144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040880"/>
        <c:axId val="221041440"/>
      </c:lineChart>
      <c:catAx>
        <c:axId val="221040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041440"/>
        <c:crosses val="autoZero"/>
        <c:auto val="1"/>
        <c:lblAlgn val="ctr"/>
        <c:lblOffset val="100"/>
        <c:noMultiLvlLbl val="1"/>
      </c:catAx>
      <c:valAx>
        <c:axId val="221041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0408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411984"/>
        <c:axId val="19441254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411984"/>
        <c:axId val="194412544"/>
      </c:lineChart>
      <c:catAx>
        <c:axId val="194411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12544"/>
        <c:crosses val="autoZero"/>
        <c:auto val="1"/>
        <c:lblAlgn val="ctr"/>
        <c:lblOffset val="100"/>
        <c:noMultiLvlLbl val="1"/>
      </c:catAx>
      <c:valAx>
        <c:axId val="194412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11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1482208"/>
        <c:axId val="22148276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482208"/>
        <c:axId val="221482768"/>
      </c:lineChart>
      <c:catAx>
        <c:axId val="221482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82768"/>
        <c:crosses val="autoZero"/>
        <c:auto val="1"/>
        <c:lblAlgn val="ctr"/>
        <c:lblOffset val="100"/>
        <c:noMultiLvlLbl val="1"/>
      </c:catAx>
      <c:valAx>
        <c:axId val="221482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822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1487808"/>
        <c:axId val="22148836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487808"/>
        <c:axId val="221488368"/>
      </c:lineChart>
      <c:catAx>
        <c:axId val="221487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88368"/>
        <c:crosses val="autoZero"/>
        <c:auto val="1"/>
        <c:lblAlgn val="ctr"/>
        <c:lblOffset val="100"/>
        <c:noMultiLvlLbl val="1"/>
      </c:catAx>
      <c:valAx>
        <c:axId val="221488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878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1493968"/>
        <c:axId val="221494528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493968"/>
        <c:axId val="221494528"/>
      </c:lineChart>
      <c:catAx>
        <c:axId val="221493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94528"/>
        <c:crosses val="autoZero"/>
        <c:auto val="0"/>
        <c:lblAlgn val="ctr"/>
        <c:lblOffset val="100"/>
        <c:noMultiLvlLbl val="1"/>
      </c:catAx>
      <c:valAx>
        <c:axId val="22149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149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0924512"/>
        <c:axId val="22092507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924512"/>
        <c:axId val="220925072"/>
      </c:lineChart>
      <c:catAx>
        <c:axId val="220924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25072"/>
        <c:crosses val="autoZero"/>
        <c:auto val="1"/>
        <c:lblAlgn val="ctr"/>
        <c:lblOffset val="100"/>
        <c:noMultiLvlLbl val="1"/>
      </c:catAx>
      <c:valAx>
        <c:axId val="2209250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245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0930112"/>
        <c:axId val="22093067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930112"/>
        <c:axId val="220930672"/>
      </c:lineChart>
      <c:catAx>
        <c:axId val="22093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30672"/>
        <c:crosses val="autoZero"/>
        <c:auto val="1"/>
        <c:lblAlgn val="ctr"/>
        <c:lblOffset val="100"/>
        <c:noMultiLvlLbl val="1"/>
      </c:catAx>
      <c:valAx>
        <c:axId val="220930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30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0936272"/>
        <c:axId val="22093683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936272"/>
        <c:axId val="220936832"/>
      </c:lineChart>
      <c:catAx>
        <c:axId val="220936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36832"/>
        <c:crosses val="autoZero"/>
        <c:auto val="1"/>
        <c:lblAlgn val="ctr"/>
        <c:lblOffset val="100"/>
        <c:noMultiLvlLbl val="1"/>
      </c:catAx>
      <c:valAx>
        <c:axId val="2209368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936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2307792"/>
        <c:axId val="22230835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307792"/>
        <c:axId val="222308352"/>
      </c:lineChart>
      <c:catAx>
        <c:axId val="222307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308352"/>
        <c:crosses val="autoZero"/>
        <c:auto val="1"/>
        <c:lblAlgn val="ctr"/>
        <c:lblOffset val="100"/>
        <c:noMultiLvlLbl val="1"/>
      </c:catAx>
      <c:valAx>
        <c:axId val="222308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3077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2313952"/>
        <c:axId val="222314512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313952"/>
        <c:axId val="222314512"/>
      </c:lineChart>
      <c:catAx>
        <c:axId val="222313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314512"/>
        <c:crosses val="autoZero"/>
        <c:auto val="0"/>
        <c:lblAlgn val="ctr"/>
        <c:lblOffset val="100"/>
        <c:noMultiLvlLbl val="1"/>
      </c:catAx>
      <c:valAx>
        <c:axId val="22231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31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2319552"/>
        <c:axId val="22232011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319552"/>
        <c:axId val="222320112"/>
      </c:lineChart>
      <c:catAx>
        <c:axId val="222319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320112"/>
        <c:crosses val="autoZero"/>
        <c:auto val="1"/>
        <c:lblAlgn val="ctr"/>
        <c:lblOffset val="100"/>
        <c:noMultiLvlLbl val="1"/>
      </c:catAx>
      <c:valAx>
        <c:axId val="222320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3195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2866080"/>
        <c:axId val="22286664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866080"/>
        <c:axId val="222866640"/>
      </c:lineChart>
      <c:catAx>
        <c:axId val="222866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866640"/>
        <c:crosses val="autoZero"/>
        <c:auto val="1"/>
        <c:lblAlgn val="ctr"/>
        <c:lblOffset val="100"/>
        <c:noMultiLvlLbl val="1"/>
      </c:catAx>
      <c:valAx>
        <c:axId val="2228666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8660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2872240"/>
        <c:axId val="22287280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872240"/>
        <c:axId val="222872800"/>
      </c:lineChart>
      <c:catAx>
        <c:axId val="222872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872800"/>
        <c:crosses val="autoZero"/>
        <c:auto val="1"/>
        <c:lblAlgn val="ctr"/>
        <c:lblOffset val="100"/>
        <c:noMultiLvlLbl val="1"/>
      </c:catAx>
      <c:valAx>
        <c:axId val="2228728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8722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2877840"/>
        <c:axId val="22287840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877840"/>
        <c:axId val="222878400"/>
      </c:lineChart>
      <c:catAx>
        <c:axId val="222877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878400"/>
        <c:crosses val="autoZero"/>
        <c:auto val="1"/>
        <c:lblAlgn val="ctr"/>
        <c:lblOffset val="100"/>
        <c:noMultiLvlLbl val="1"/>
      </c:catAx>
      <c:valAx>
        <c:axId val="2228784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8778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3402704"/>
        <c:axId val="223403264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402704"/>
        <c:axId val="223403264"/>
      </c:lineChart>
      <c:catAx>
        <c:axId val="223402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403264"/>
        <c:crosses val="autoZero"/>
        <c:auto val="0"/>
        <c:lblAlgn val="ctr"/>
        <c:lblOffset val="100"/>
        <c:noMultiLvlLbl val="1"/>
      </c:catAx>
      <c:valAx>
        <c:axId val="22340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40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3408304"/>
        <c:axId val="22340886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408304"/>
        <c:axId val="223408864"/>
      </c:lineChart>
      <c:catAx>
        <c:axId val="223408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408864"/>
        <c:crosses val="autoZero"/>
        <c:auto val="1"/>
        <c:lblAlgn val="ctr"/>
        <c:lblOffset val="100"/>
        <c:noMultiLvlLbl val="1"/>
      </c:catAx>
      <c:valAx>
        <c:axId val="2234088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4083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3766288"/>
        <c:axId val="22376684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66288"/>
        <c:axId val="223766848"/>
      </c:lineChart>
      <c:catAx>
        <c:axId val="223766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66848"/>
        <c:crosses val="autoZero"/>
        <c:auto val="1"/>
        <c:lblAlgn val="ctr"/>
        <c:lblOffset val="100"/>
        <c:noMultiLvlLbl val="1"/>
      </c:catAx>
      <c:valAx>
        <c:axId val="223766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662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3772448"/>
        <c:axId val="22377300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72448"/>
        <c:axId val="223773008"/>
      </c:lineChart>
      <c:catAx>
        <c:axId val="223772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73008"/>
        <c:crosses val="autoZero"/>
        <c:auto val="1"/>
        <c:lblAlgn val="ctr"/>
        <c:lblOffset val="100"/>
        <c:noMultiLvlLbl val="1"/>
      </c:catAx>
      <c:valAx>
        <c:axId val="223773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724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3778048"/>
        <c:axId val="22377860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78048"/>
        <c:axId val="223778608"/>
      </c:lineChart>
      <c:catAx>
        <c:axId val="223778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78608"/>
        <c:crosses val="autoZero"/>
        <c:auto val="1"/>
        <c:lblAlgn val="ctr"/>
        <c:lblOffset val="100"/>
        <c:noMultiLvlLbl val="1"/>
      </c:catAx>
      <c:valAx>
        <c:axId val="2237786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780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3784208"/>
        <c:axId val="223784768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84208"/>
        <c:axId val="223784768"/>
      </c:lineChart>
      <c:catAx>
        <c:axId val="223784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84768"/>
        <c:crosses val="autoZero"/>
        <c:auto val="0"/>
        <c:lblAlgn val="ctr"/>
        <c:lblOffset val="100"/>
        <c:noMultiLvlLbl val="1"/>
      </c:catAx>
      <c:valAx>
        <c:axId val="22378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8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3789808"/>
        <c:axId val="22379036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89808"/>
        <c:axId val="223790368"/>
      </c:lineChart>
      <c:catAx>
        <c:axId val="223789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90368"/>
        <c:crosses val="autoZero"/>
        <c:auto val="1"/>
        <c:lblAlgn val="ctr"/>
        <c:lblOffset val="100"/>
        <c:noMultiLvlLbl val="1"/>
      </c:catAx>
      <c:valAx>
        <c:axId val="223790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898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3795408"/>
        <c:axId val="22379596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95408"/>
        <c:axId val="223795968"/>
      </c:lineChart>
      <c:catAx>
        <c:axId val="22379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95968"/>
        <c:crosses val="autoZero"/>
        <c:auto val="1"/>
        <c:lblAlgn val="ctr"/>
        <c:lblOffset val="100"/>
        <c:noMultiLvlLbl val="1"/>
      </c:catAx>
      <c:valAx>
        <c:axId val="223795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37954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4617792"/>
        <c:axId val="22461835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17792"/>
        <c:axId val="224618352"/>
      </c:lineChart>
      <c:catAx>
        <c:axId val="224617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618352"/>
        <c:crosses val="autoZero"/>
        <c:auto val="1"/>
        <c:lblAlgn val="ctr"/>
        <c:lblOffset val="100"/>
        <c:noMultiLvlLbl val="1"/>
      </c:catAx>
      <c:valAx>
        <c:axId val="224618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6177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4623392"/>
        <c:axId val="22462395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23392"/>
        <c:axId val="224623952"/>
      </c:lineChart>
      <c:catAx>
        <c:axId val="224623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623952"/>
        <c:crosses val="autoZero"/>
        <c:auto val="1"/>
        <c:lblAlgn val="ctr"/>
        <c:lblOffset val="100"/>
        <c:noMultiLvlLbl val="1"/>
      </c:catAx>
      <c:valAx>
        <c:axId val="2246239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6233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4629552"/>
        <c:axId val="224630112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29552"/>
        <c:axId val="224630112"/>
      </c:lineChart>
      <c:catAx>
        <c:axId val="224629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630112"/>
        <c:crosses val="autoZero"/>
        <c:auto val="0"/>
        <c:lblAlgn val="ctr"/>
        <c:lblOffset val="100"/>
        <c:noMultiLvlLbl val="1"/>
      </c:catAx>
      <c:valAx>
        <c:axId val="22463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62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4635152"/>
        <c:axId val="22463571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35152"/>
        <c:axId val="224635712"/>
      </c:lineChart>
      <c:catAx>
        <c:axId val="224635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635712"/>
        <c:crosses val="autoZero"/>
        <c:auto val="1"/>
        <c:lblAlgn val="ctr"/>
        <c:lblOffset val="100"/>
        <c:noMultiLvlLbl val="1"/>
      </c:catAx>
      <c:valAx>
        <c:axId val="224635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6351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4640752"/>
        <c:axId val="22464131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40752"/>
        <c:axId val="224641312"/>
      </c:lineChart>
      <c:catAx>
        <c:axId val="22464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641312"/>
        <c:crosses val="autoZero"/>
        <c:auto val="1"/>
        <c:lblAlgn val="ctr"/>
        <c:lblOffset val="100"/>
        <c:noMultiLvlLbl val="1"/>
      </c:catAx>
      <c:valAx>
        <c:axId val="2246413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6407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4646912"/>
        <c:axId val="22513931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646912"/>
        <c:axId val="225139312"/>
      </c:lineChart>
      <c:catAx>
        <c:axId val="224646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139312"/>
        <c:crosses val="autoZero"/>
        <c:auto val="1"/>
        <c:lblAlgn val="ctr"/>
        <c:lblOffset val="100"/>
        <c:noMultiLvlLbl val="1"/>
      </c:catAx>
      <c:valAx>
        <c:axId val="2251393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646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144352"/>
        <c:axId val="22514491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144352"/>
        <c:axId val="225144912"/>
      </c:lineChart>
      <c:catAx>
        <c:axId val="225144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144912"/>
        <c:crosses val="autoZero"/>
        <c:auto val="1"/>
        <c:lblAlgn val="ctr"/>
        <c:lblOffset val="100"/>
        <c:noMultiLvlLbl val="1"/>
      </c:catAx>
      <c:valAx>
        <c:axId val="2251449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1443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150512"/>
        <c:axId val="225151072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150512"/>
        <c:axId val="225151072"/>
      </c:lineChart>
      <c:catAx>
        <c:axId val="225150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151072"/>
        <c:crosses val="autoZero"/>
        <c:auto val="0"/>
        <c:lblAlgn val="ctr"/>
        <c:lblOffset val="100"/>
        <c:noMultiLvlLbl val="1"/>
      </c:catAx>
      <c:valAx>
        <c:axId val="22515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15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156112"/>
        <c:axId val="22515667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156112"/>
        <c:axId val="225156672"/>
      </c:lineChart>
      <c:catAx>
        <c:axId val="225156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156672"/>
        <c:crosses val="autoZero"/>
        <c:auto val="1"/>
        <c:lblAlgn val="ctr"/>
        <c:lblOffset val="100"/>
        <c:noMultiLvlLbl val="1"/>
      </c:catAx>
      <c:valAx>
        <c:axId val="225156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156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161712"/>
        <c:axId val="22516227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161712"/>
        <c:axId val="225162272"/>
      </c:lineChart>
      <c:catAx>
        <c:axId val="22516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162272"/>
        <c:crosses val="autoZero"/>
        <c:auto val="1"/>
        <c:lblAlgn val="ctr"/>
        <c:lblOffset val="100"/>
        <c:noMultiLvlLbl val="1"/>
      </c:catAx>
      <c:valAx>
        <c:axId val="22516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161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167872"/>
        <c:axId val="22516843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167872"/>
        <c:axId val="225168432"/>
      </c:lineChart>
      <c:catAx>
        <c:axId val="225167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168432"/>
        <c:crosses val="autoZero"/>
        <c:auto val="1"/>
        <c:lblAlgn val="ctr"/>
        <c:lblOffset val="100"/>
        <c:noMultiLvlLbl val="1"/>
      </c:catAx>
      <c:valAx>
        <c:axId val="2251684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1678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797440"/>
        <c:axId val="22579800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797440"/>
        <c:axId val="225798000"/>
      </c:lineChart>
      <c:catAx>
        <c:axId val="225797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798000"/>
        <c:crosses val="autoZero"/>
        <c:auto val="1"/>
        <c:lblAlgn val="ctr"/>
        <c:lblOffset val="100"/>
        <c:noMultiLvlLbl val="1"/>
      </c:catAx>
      <c:valAx>
        <c:axId val="2257980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57974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40" workbookViewId="0">
      <selection activeCell="O19" sqref="O19:Y22"/>
    </sheetView>
  </sheetViews>
  <sheetFormatPr defaultColWidth="8.85546875"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5" t="s">
        <v>24</v>
      </c>
      <c r="D1" s="76"/>
      <c r="E1" s="76"/>
      <c r="F1" s="76"/>
      <c r="G1" s="76"/>
      <c r="H1" s="76"/>
      <c r="I1" s="76"/>
      <c r="J1" s="76"/>
      <c r="K1" s="76"/>
      <c r="L1" s="76"/>
      <c r="M1" s="76"/>
    </row>
    <row r="2" spans="1:25" s="10" customFormat="1" x14ac:dyDescent="0.25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36</v>
      </c>
      <c r="C3" s="72" t="s">
        <v>22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 t="s">
        <v>23</v>
      </c>
      <c r="O3" s="73"/>
      <c r="P3" s="73"/>
      <c r="Q3" s="73"/>
      <c r="R3" s="73"/>
      <c r="S3" s="73"/>
      <c r="T3" s="73"/>
      <c r="U3" s="73"/>
      <c r="V3" s="73"/>
      <c r="W3" s="73"/>
      <c r="X3" s="73"/>
      <c r="Y3" s="74"/>
    </row>
    <row r="4" spans="1:25" ht="15.75" x14ac:dyDescent="0.25">
      <c r="C4" s="71" t="s">
        <v>12</v>
      </c>
      <c r="D4" s="71"/>
      <c r="E4" s="71"/>
      <c r="F4" s="71" t="s">
        <v>11</v>
      </c>
      <c r="G4" s="71"/>
      <c r="H4" s="71" t="s">
        <v>13</v>
      </c>
      <c r="I4" s="71"/>
      <c r="J4" s="71" t="s">
        <v>14</v>
      </c>
      <c r="K4" s="71"/>
      <c r="L4" s="77" t="s">
        <v>15</v>
      </c>
      <c r="M4" s="78"/>
      <c r="N4" s="78" t="s">
        <v>16</v>
      </c>
      <c r="O4" s="79"/>
      <c r="P4" s="71" t="s">
        <v>17</v>
      </c>
      <c r="Q4" s="71"/>
      <c r="R4" s="71" t="s">
        <v>18</v>
      </c>
      <c r="S4" s="71"/>
      <c r="T4" s="71" t="s">
        <v>19</v>
      </c>
      <c r="U4" s="71"/>
      <c r="V4" s="71" t="s">
        <v>20</v>
      </c>
      <c r="W4" s="71"/>
      <c r="X4" s="71" t="s">
        <v>21</v>
      </c>
      <c r="Y4" s="71"/>
    </row>
    <row r="5" spans="1:25" s="6" customFormat="1" ht="12.75" x14ac:dyDescent="0.2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69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5</v>
      </c>
      <c r="I7" s="25">
        <f>SUM('Sprint 2'!J6:P6)</f>
        <v>10.5</v>
      </c>
      <c r="J7" s="25">
        <f>SUM('Sprint 3'!C6:I6)</f>
        <v>11</v>
      </c>
      <c r="K7" s="25">
        <f>SUM('Sprint 3'!J6:P6)</f>
        <v>9</v>
      </c>
      <c r="L7" s="25">
        <f>SUM('Sprint 4'!C6:I6)</f>
        <v>0</v>
      </c>
      <c r="M7" s="25">
        <f>SUM('Sprint 4'!J6:P6)</f>
        <v>0</v>
      </c>
      <c r="N7" s="45">
        <f>SUM('Sprint 5'!C6:I6)</f>
        <v>0</v>
      </c>
      <c r="O7" s="22">
        <f>SUM('Sprint 5'!J6:P6)</f>
        <v>0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69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SUM('Sprint 1'!C7:I7)</f>
        <v>0.5</v>
      </c>
      <c r="G8" s="25">
        <f>SUM('Sprint 1'!J7:P7)</f>
        <v>1.5</v>
      </c>
      <c r="H8" s="25">
        <f>SUM('Sprint 2'!C7:I7)</f>
        <v>2</v>
      </c>
      <c r="I8" s="25">
        <f>SUM('Sprint 2'!J7:P7)</f>
        <v>12.003</v>
      </c>
      <c r="J8" s="25">
        <f>SUM('Sprint 3'!C7:I7)</f>
        <v>11</v>
      </c>
      <c r="K8" s="25">
        <f>SUM('Sprint 3'!J7:P7)</f>
        <v>8</v>
      </c>
      <c r="L8" s="25">
        <f>SUM('Sprint 4'!C7:I7)</f>
        <v>0</v>
      </c>
      <c r="M8" s="25">
        <f>SUM('Sprint 4'!J7:P7)</f>
        <v>0</v>
      </c>
      <c r="N8" s="45">
        <f>SUM('Sprint 5'!C7:I7)</f>
        <v>0</v>
      </c>
      <c r="O8" s="22">
        <f>SUM('Sprint 5'!J7:P7)</f>
        <v>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69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SUM('Sprint 1'!C8:I8)</f>
        <v>3</v>
      </c>
      <c r="G9" s="25">
        <f>SUM('Sprint 1'!J8:P8)</f>
        <v>1</v>
      </c>
      <c r="H9" s="25">
        <f>SUM('Sprint 2'!C8:I8)</f>
        <v>5.0670000000000002</v>
      </c>
      <c r="I9" s="25">
        <f>SUM('Sprint 2'!J8:P8)</f>
        <v>5.5</v>
      </c>
      <c r="J9" s="25">
        <f>SUM('Sprint 3'!C8:I8)</f>
        <v>6</v>
      </c>
      <c r="K9" s="25">
        <f>SUM('Sprint 3'!J8:P8)</f>
        <v>5</v>
      </c>
      <c r="L9" s="25">
        <f>SUM('Sprint 4'!C8:I8)</f>
        <v>0</v>
      </c>
      <c r="M9" s="25">
        <f>SUM('Sprint 4'!J8:P8)</f>
        <v>0</v>
      </c>
      <c r="N9" s="45">
        <f>SUM('Sprint 5'!C8:I8)</f>
        <v>0</v>
      </c>
      <c r="O9" s="22">
        <f>SUM('Sprint 5'!J8:P8)</f>
        <v>0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69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SUM('Sprint 1'!C9:I9)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5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69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4.5</v>
      </c>
      <c r="G11" s="21">
        <f t="shared" si="2"/>
        <v>7.5</v>
      </c>
      <c r="H11" s="21">
        <f t="shared" si="2"/>
        <v>12.067</v>
      </c>
      <c r="I11" s="21">
        <f t="shared" si="2"/>
        <v>28.003</v>
      </c>
      <c r="J11" s="21">
        <f t="shared" si="2"/>
        <v>28</v>
      </c>
      <c r="K11" s="21">
        <f t="shared" si="2"/>
        <v>22</v>
      </c>
      <c r="L11" s="21">
        <f t="shared" si="2"/>
        <v>0</v>
      </c>
      <c r="M11" s="21">
        <f t="shared" si="2"/>
        <v>0</v>
      </c>
      <c r="N11" s="47">
        <f>SUM(N7:N10)</f>
        <v>0</v>
      </c>
      <c r="O11" s="65">
        <f t="shared" ref="O11:Y11" si="3">SUM(O7:O10)</f>
        <v>0</v>
      </c>
      <c r="P11" s="65">
        <f t="shared" si="3"/>
        <v>0</v>
      </c>
      <c r="Q11" s="65">
        <f t="shared" si="3"/>
        <v>0</v>
      </c>
      <c r="R11" s="65">
        <f t="shared" si="3"/>
        <v>0</v>
      </c>
      <c r="S11" s="65">
        <f t="shared" si="3"/>
        <v>0</v>
      </c>
      <c r="T11" s="65">
        <f t="shared" si="3"/>
        <v>0</v>
      </c>
      <c r="U11" s="65">
        <f t="shared" si="3"/>
        <v>0</v>
      </c>
      <c r="V11" s="65">
        <f t="shared" si="3"/>
        <v>0</v>
      </c>
      <c r="W11" s="65">
        <f t="shared" si="3"/>
        <v>0</v>
      </c>
      <c r="X11" s="65">
        <f t="shared" si="3"/>
        <v>0</v>
      </c>
      <c r="Y11" s="65">
        <f t="shared" si="3"/>
        <v>0</v>
      </c>
    </row>
    <row r="12" spans="1:25" x14ac:dyDescent="0.25">
      <c r="A12" s="6"/>
      <c r="M12" s="48"/>
      <c r="N12" s="49"/>
    </row>
    <row r="13" spans="1:25" x14ac:dyDescent="0.25">
      <c r="A13" s="69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5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69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5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69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0</v>
      </c>
      <c r="M15" s="25">
        <f>SUM('Sprint 4'!J20:P20)</f>
        <v>0</v>
      </c>
      <c r="N15" s="45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69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5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69"/>
      <c r="B17" s="9" t="s">
        <v>30</v>
      </c>
      <c r="C17" s="21">
        <f xml:space="preserve"> SUM(C13:C16)</f>
        <v>2.91</v>
      </c>
      <c r="D17" s="21">
        <f t="shared" ref="D17" si="4" xml:space="preserve"> SUM(D13:D16)</f>
        <v>13.75</v>
      </c>
      <c r="E17" s="21">
        <f t="shared" ref="E17" si="5" xml:space="preserve"> SUM(E13:E16)</f>
        <v>12.4</v>
      </c>
      <c r="F17" s="21">
        <f t="shared" ref="F17" si="6" xml:space="preserve"> SUM(F13:F16)</f>
        <v>6.25</v>
      </c>
      <c r="G17" s="21">
        <f t="shared" ref="G17" si="7" xml:space="preserve"> SUM(G13:G16)</f>
        <v>3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7">
        <f>SUM(N13:N16)</f>
        <v>0</v>
      </c>
      <c r="O17" s="65">
        <f t="shared" ref="O17" si="14">SUM(O13:O16)</f>
        <v>0</v>
      </c>
      <c r="P17" s="65">
        <f t="shared" ref="P17" si="15">SUM(P13:P16)</f>
        <v>0</v>
      </c>
      <c r="Q17" s="65">
        <f t="shared" ref="Q17" si="16">SUM(Q13:Q16)</f>
        <v>0</v>
      </c>
      <c r="R17" s="65">
        <f t="shared" ref="R17" si="17">SUM(R13:R16)</f>
        <v>0</v>
      </c>
      <c r="S17" s="65">
        <f t="shared" ref="S17" si="18">SUM(S13:S16)</f>
        <v>0</v>
      </c>
      <c r="T17" s="65">
        <f t="shared" ref="T17" si="19">SUM(T13:T16)</f>
        <v>0</v>
      </c>
      <c r="U17" s="65">
        <f t="shared" ref="U17" si="20">SUM(U13:U16)</f>
        <v>0</v>
      </c>
      <c r="V17" s="65">
        <f t="shared" ref="V17" si="21">SUM(V13:V16)</f>
        <v>0</v>
      </c>
      <c r="W17" s="65">
        <f t="shared" ref="W17" si="22">SUM(W13:W16)</f>
        <v>0</v>
      </c>
      <c r="X17" s="65">
        <f t="shared" ref="X17" si="23">SUM(X13:X16)</f>
        <v>0</v>
      </c>
      <c r="Y17" s="65">
        <f t="shared" ref="Y17" si="24">SUM(Y13:Y16)</f>
        <v>0</v>
      </c>
    </row>
    <row r="18" spans="1:25" x14ac:dyDescent="0.25">
      <c r="M18" s="48"/>
      <c r="N18" s="49"/>
    </row>
    <row r="19" spans="1:25" x14ac:dyDescent="0.25">
      <c r="A19" s="70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D13</f>
        <v>7</v>
      </c>
      <c r="E19" s="25">
        <f t="shared" ref="E19:M19" si="25" xml:space="preserve"> D19 + E7 + E13</f>
        <v>11.5</v>
      </c>
      <c r="F19" s="25">
        <f t="shared" si="25"/>
        <v>12.5</v>
      </c>
      <c r="G19" s="25">
        <f t="shared" si="25"/>
        <v>18.5</v>
      </c>
      <c r="H19" s="25">
        <f t="shared" si="25"/>
        <v>23.5</v>
      </c>
      <c r="I19" s="25">
        <f t="shared" si="25"/>
        <v>34</v>
      </c>
      <c r="J19" s="25">
        <f t="shared" si="25"/>
        <v>45</v>
      </c>
      <c r="K19" s="25">
        <f t="shared" si="25"/>
        <v>54</v>
      </c>
      <c r="L19" s="25">
        <f t="shared" si="25"/>
        <v>54</v>
      </c>
      <c r="M19" s="25">
        <f t="shared" si="25"/>
        <v>54</v>
      </c>
      <c r="N19" s="45">
        <f t="shared" ref="N19:O22" si="26" xml:space="preserve"> M19 + N7 + N13</f>
        <v>54</v>
      </c>
      <c r="O19" s="25">
        <f t="shared" si="26"/>
        <v>54</v>
      </c>
      <c r="P19" s="25">
        <f t="shared" ref="P19:Y19" si="27" xml:space="preserve"> O19 + P7 + P13</f>
        <v>54</v>
      </c>
      <c r="Q19" s="25">
        <f t="shared" si="27"/>
        <v>54</v>
      </c>
      <c r="R19" s="25">
        <f t="shared" si="27"/>
        <v>54</v>
      </c>
      <c r="S19" s="25">
        <f t="shared" si="27"/>
        <v>54</v>
      </c>
      <c r="T19" s="25">
        <f t="shared" si="27"/>
        <v>54</v>
      </c>
      <c r="U19" s="25">
        <f t="shared" si="27"/>
        <v>54</v>
      </c>
      <c r="V19" s="25">
        <f t="shared" si="27"/>
        <v>54</v>
      </c>
      <c r="W19" s="25">
        <f t="shared" si="27"/>
        <v>54</v>
      </c>
      <c r="X19" s="25">
        <f t="shared" si="27"/>
        <v>54</v>
      </c>
      <c r="Y19" s="25">
        <f t="shared" si="27"/>
        <v>54</v>
      </c>
    </row>
    <row r="20" spans="1:25" x14ac:dyDescent="0.25">
      <c r="A20" s="70"/>
      <c r="B20" s="8" t="str">
        <f xml:space="preserve"> CONCATENATE(Setup!$B$8, ", ", LEFT(Setup!$C$8,2))</f>
        <v>Spencer, SS</v>
      </c>
      <c r="C20" s="25">
        <f t="shared" ref="C20:C22" si="28" xml:space="preserve"> C8 + C14</f>
        <v>2.66</v>
      </c>
      <c r="D20" s="25">
        <f xml:space="preserve"> C20 + D8 + D14</f>
        <v>11.66</v>
      </c>
      <c r="E20" s="25">
        <f t="shared" ref="E20:M20" si="29" xml:space="preserve"> D20 + E8 + E14</f>
        <v>17.060000000000002</v>
      </c>
      <c r="F20" s="25">
        <f t="shared" si="29"/>
        <v>23.310000000000002</v>
      </c>
      <c r="G20" s="25">
        <f t="shared" si="29"/>
        <v>26.310000000000002</v>
      </c>
      <c r="H20" s="25">
        <f t="shared" si="29"/>
        <v>28.310000000000002</v>
      </c>
      <c r="I20" s="25">
        <f t="shared" si="29"/>
        <v>40.313000000000002</v>
      </c>
      <c r="J20" s="25">
        <f t="shared" si="29"/>
        <v>51.313000000000002</v>
      </c>
      <c r="K20" s="25">
        <f t="shared" si="29"/>
        <v>59.313000000000002</v>
      </c>
      <c r="L20" s="25">
        <f t="shared" si="29"/>
        <v>59.313000000000002</v>
      </c>
      <c r="M20" s="25">
        <f t="shared" si="29"/>
        <v>59.313000000000002</v>
      </c>
      <c r="N20" s="45">
        <f t="shared" si="26"/>
        <v>59.313000000000002</v>
      </c>
      <c r="O20" s="25">
        <f t="shared" si="26"/>
        <v>59.313000000000002</v>
      </c>
      <c r="P20" s="25">
        <f t="shared" ref="P20:Y20" si="30" xml:space="preserve"> O20 + P8 + P14</f>
        <v>59.313000000000002</v>
      </c>
      <c r="Q20" s="25">
        <f t="shared" si="30"/>
        <v>59.313000000000002</v>
      </c>
      <c r="R20" s="25">
        <f t="shared" si="30"/>
        <v>59.313000000000002</v>
      </c>
      <c r="S20" s="25">
        <f t="shared" si="30"/>
        <v>59.313000000000002</v>
      </c>
      <c r="T20" s="25">
        <f t="shared" si="30"/>
        <v>59.313000000000002</v>
      </c>
      <c r="U20" s="25">
        <f t="shared" si="30"/>
        <v>59.313000000000002</v>
      </c>
      <c r="V20" s="25">
        <f t="shared" si="30"/>
        <v>59.313000000000002</v>
      </c>
      <c r="W20" s="25">
        <f t="shared" si="30"/>
        <v>59.313000000000002</v>
      </c>
      <c r="X20" s="25">
        <f t="shared" si="30"/>
        <v>59.313000000000002</v>
      </c>
      <c r="Y20" s="25">
        <f t="shared" si="30"/>
        <v>59.313000000000002</v>
      </c>
    </row>
    <row r="21" spans="1:25" x14ac:dyDescent="0.25">
      <c r="A21" s="70"/>
      <c r="B21" s="8" t="str">
        <f xml:space="preserve"> CONCATENATE(Setup!$B$9, ", ", LEFT(Setup!$C$9,2))</f>
        <v>Dylan, DW</v>
      </c>
      <c r="C21" s="25">
        <f t="shared" si="28"/>
        <v>1.25</v>
      </c>
      <c r="D21" s="25">
        <f xml:space="preserve"> C21 + D9 + D15</f>
        <v>4.25</v>
      </c>
      <c r="E21" s="25">
        <f t="shared" ref="E21:M21" si="31" xml:space="preserve"> D21 + E9 + E15</f>
        <v>13.25</v>
      </c>
      <c r="F21" s="25">
        <f t="shared" si="31"/>
        <v>16.75</v>
      </c>
      <c r="G21" s="25">
        <f t="shared" si="31"/>
        <v>18.25</v>
      </c>
      <c r="H21" s="25">
        <f t="shared" si="31"/>
        <v>23.317</v>
      </c>
      <c r="I21" s="25">
        <f t="shared" si="31"/>
        <v>28.817</v>
      </c>
      <c r="J21" s="25">
        <f t="shared" si="31"/>
        <v>34.817</v>
      </c>
      <c r="K21" s="25">
        <f t="shared" si="31"/>
        <v>39.817</v>
      </c>
      <c r="L21" s="25">
        <f t="shared" si="31"/>
        <v>39.817</v>
      </c>
      <c r="M21" s="25">
        <f t="shared" si="31"/>
        <v>39.817</v>
      </c>
      <c r="N21" s="45">
        <f t="shared" si="26"/>
        <v>39.817</v>
      </c>
      <c r="O21" s="25">
        <f t="shared" si="26"/>
        <v>39.817</v>
      </c>
      <c r="P21" s="25">
        <f t="shared" ref="P21:Y21" si="32" xml:space="preserve"> O21 + P9 + P15</f>
        <v>39.817</v>
      </c>
      <c r="Q21" s="25">
        <f t="shared" si="32"/>
        <v>39.817</v>
      </c>
      <c r="R21" s="25">
        <f t="shared" si="32"/>
        <v>39.817</v>
      </c>
      <c r="S21" s="25">
        <f t="shared" si="32"/>
        <v>39.817</v>
      </c>
      <c r="T21" s="25">
        <f t="shared" si="32"/>
        <v>39.817</v>
      </c>
      <c r="U21" s="25">
        <f t="shared" si="32"/>
        <v>39.817</v>
      </c>
      <c r="V21" s="25">
        <f t="shared" si="32"/>
        <v>39.817</v>
      </c>
      <c r="W21" s="25">
        <f t="shared" si="32"/>
        <v>39.817</v>
      </c>
      <c r="X21" s="25">
        <f t="shared" si="32"/>
        <v>39.817</v>
      </c>
      <c r="Y21" s="25">
        <f t="shared" si="32"/>
        <v>39.817</v>
      </c>
    </row>
    <row r="22" spans="1:25" x14ac:dyDescent="0.25">
      <c r="A22" s="70"/>
      <c r="B22" s="8" t="e">
        <f xml:space="preserve"> CONCATENATE(Setup!#REF!, ", ", LEFT(Setup!#REF!,2))</f>
        <v>#REF!</v>
      </c>
      <c r="C22" s="25">
        <f t="shared" si="28"/>
        <v>0</v>
      </c>
      <c r="D22" s="25">
        <f xml:space="preserve"> C22 + D10 + D16</f>
        <v>0</v>
      </c>
      <c r="E22" s="25">
        <f t="shared" ref="E22:M22" si="33" xml:space="preserve"> D22 + E10 + E16</f>
        <v>0</v>
      </c>
      <c r="F22" s="25">
        <f t="shared" si="33"/>
        <v>0</v>
      </c>
      <c r="G22" s="25">
        <f t="shared" si="33"/>
        <v>0</v>
      </c>
      <c r="H22" s="25">
        <f t="shared" si="33"/>
        <v>0</v>
      </c>
      <c r="I22" s="25">
        <f t="shared" si="33"/>
        <v>0</v>
      </c>
      <c r="J22" s="25">
        <f t="shared" si="33"/>
        <v>0</v>
      </c>
      <c r="K22" s="25">
        <f t="shared" si="33"/>
        <v>0</v>
      </c>
      <c r="L22" s="25">
        <f t="shared" si="33"/>
        <v>0</v>
      </c>
      <c r="M22" s="25">
        <f t="shared" si="33"/>
        <v>0</v>
      </c>
      <c r="N22" s="45">
        <f t="shared" si="26"/>
        <v>0</v>
      </c>
      <c r="O22" s="25">
        <f t="shared" si="26"/>
        <v>0</v>
      </c>
      <c r="P22" s="25">
        <f t="shared" ref="P22:Y22" si="34" xml:space="preserve"> O22 + P10 + P16</f>
        <v>0</v>
      </c>
      <c r="Q22" s="25">
        <f t="shared" si="34"/>
        <v>0</v>
      </c>
      <c r="R22" s="25">
        <f t="shared" si="34"/>
        <v>0</v>
      </c>
      <c r="S22" s="25">
        <f t="shared" si="34"/>
        <v>0</v>
      </c>
      <c r="T22" s="25">
        <f t="shared" si="34"/>
        <v>0</v>
      </c>
      <c r="U22" s="25">
        <f t="shared" si="34"/>
        <v>0</v>
      </c>
      <c r="V22" s="25">
        <f t="shared" si="34"/>
        <v>0</v>
      </c>
      <c r="W22" s="25">
        <f t="shared" si="34"/>
        <v>0</v>
      </c>
      <c r="X22" s="25">
        <f t="shared" si="34"/>
        <v>0</v>
      </c>
      <c r="Y22" s="25">
        <f t="shared" si="34"/>
        <v>0</v>
      </c>
    </row>
    <row r="23" spans="1:25" ht="15.75" x14ac:dyDescent="0.25">
      <c r="A23" s="70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35" xml:space="preserve"> D23 + E11 + E17</f>
        <v>41.81</v>
      </c>
      <c r="F23" s="21">
        <f t="shared" si="35"/>
        <v>52.56</v>
      </c>
      <c r="G23" s="21">
        <f t="shared" si="35"/>
        <v>63.06</v>
      </c>
      <c r="H23" s="21">
        <f t="shared" si="35"/>
        <v>75.12700000000001</v>
      </c>
      <c r="I23" s="21">
        <f t="shared" si="35"/>
        <v>103.13000000000001</v>
      </c>
      <c r="J23" s="21">
        <f t="shared" si="35"/>
        <v>131.13</v>
      </c>
      <c r="K23" s="21">
        <f t="shared" si="35"/>
        <v>153.13</v>
      </c>
      <c r="L23" s="21">
        <f t="shared" si="35"/>
        <v>153.13</v>
      </c>
      <c r="M23" s="46">
        <f t="shared" si="35"/>
        <v>153.13</v>
      </c>
      <c r="N23" s="47">
        <f t="shared" si="35"/>
        <v>153.13</v>
      </c>
      <c r="O23" s="21">
        <f t="shared" si="35"/>
        <v>153.13</v>
      </c>
      <c r="P23" s="21">
        <f t="shared" si="35"/>
        <v>153.13</v>
      </c>
      <c r="Q23" s="21">
        <f t="shared" si="35"/>
        <v>153.13</v>
      </c>
      <c r="R23" s="21">
        <f t="shared" si="35"/>
        <v>153.13</v>
      </c>
      <c r="S23" s="21">
        <f t="shared" si="35"/>
        <v>153.13</v>
      </c>
      <c r="T23" s="21">
        <f t="shared" si="35"/>
        <v>153.13</v>
      </c>
      <c r="U23" s="21">
        <f t="shared" si="35"/>
        <v>153.13</v>
      </c>
      <c r="V23" s="21">
        <f t="shared" si="35"/>
        <v>153.13</v>
      </c>
      <c r="W23" s="21">
        <f t="shared" si="35"/>
        <v>153.13</v>
      </c>
      <c r="X23" s="21">
        <f t="shared" si="35"/>
        <v>153.13</v>
      </c>
      <c r="Y23" s="21">
        <f t="shared" si="35"/>
        <v>153.13</v>
      </c>
    </row>
    <row r="24" spans="1:25" ht="15.75" x14ac:dyDescent="0.25">
      <c r="A24" s="19"/>
      <c r="B24" s="20"/>
      <c r="M24" s="48"/>
      <c r="N24" s="49"/>
    </row>
    <row r="25" spans="1:25" x14ac:dyDescent="0.25">
      <c r="A25" s="70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t="shared" ref="D25:E25" si="36" xml:space="preserve"> D19 / D$6</f>
        <v>3.5</v>
      </c>
      <c r="E25" s="29">
        <f t="shared" si="36"/>
        <v>3.8333333333333335</v>
      </c>
      <c r="F25" s="29">
        <f t="shared" ref="F25:Y25" si="37" xml:space="preserve"> F19 / F$6</f>
        <v>3.125</v>
      </c>
      <c r="G25" s="29">
        <f t="shared" si="37"/>
        <v>3.7</v>
      </c>
      <c r="H25" s="29">
        <f t="shared" si="37"/>
        <v>3.9166666666666665</v>
      </c>
      <c r="I25" s="29">
        <f t="shared" si="37"/>
        <v>4.8571428571428568</v>
      </c>
      <c r="J25" s="29">
        <f t="shared" si="37"/>
        <v>5.625</v>
      </c>
      <c r="K25" s="29">
        <f t="shared" si="37"/>
        <v>6</v>
      </c>
      <c r="L25" s="29">
        <f t="shared" si="37"/>
        <v>5.4</v>
      </c>
      <c r="M25" s="50">
        <f t="shared" si="37"/>
        <v>4.9090909090909092</v>
      </c>
      <c r="N25" s="51">
        <f t="shared" si="37"/>
        <v>4.5</v>
      </c>
      <c r="O25" s="29">
        <f t="shared" si="37"/>
        <v>4.1538461538461542</v>
      </c>
      <c r="P25" s="29">
        <f t="shared" si="37"/>
        <v>3.8571428571428572</v>
      </c>
      <c r="Q25" s="29">
        <f t="shared" si="37"/>
        <v>3.6</v>
      </c>
      <c r="R25" s="29">
        <f t="shared" si="37"/>
        <v>3.375</v>
      </c>
      <c r="S25" s="29">
        <f t="shared" si="37"/>
        <v>3.1764705882352939</v>
      </c>
      <c r="T25" s="29">
        <f t="shared" si="37"/>
        <v>3</v>
      </c>
      <c r="U25" s="29">
        <f t="shared" si="37"/>
        <v>2.8421052631578947</v>
      </c>
      <c r="V25" s="29">
        <f t="shared" si="37"/>
        <v>2.7</v>
      </c>
      <c r="W25" s="29">
        <f t="shared" si="37"/>
        <v>2.5714285714285716</v>
      </c>
      <c r="X25" s="29">
        <f t="shared" si="37"/>
        <v>2.4545454545454546</v>
      </c>
      <c r="Y25" s="29">
        <f t="shared" si="37"/>
        <v>2.347826086956522</v>
      </c>
    </row>
    <row r="26" spans="1:25" x14ac:dyDescent="0.25">
      <c r="A26" s="70"/>
      <c r="B26" s="8" t="str">
        <f xml:space="preserve"> CONCATENATE(Setup!$B$8, ", ", LEFT(Setup!$C$8,2))</f>
        <v>Spencer, SS</v>
      </c>
      <c r="C26" s="29">
        <f t="shared" ref="C26:E29" si="38" xml:space="preserve"> C20 / C$6</f>
        <v>2.66</v>
      </c>
      <c r="D26" s="29">
        <f t="shared" si="38"/>
        <v>5.83</v>
      </c>
      <c r="E26" s="29">
        <f t="shared" si="38"/>
        <v>5.6866666666666674</v>
      </c>
      <c r="F26" s="29">
        <f t="shared" ref="F26:Y26" si="39" xml:space="preserve"> F20 / F$6</f>
        <v>5.8275000000000006</v>
      </c>
      <c r="G26" s="29">
        <f t="shared" si="39"/>
        <v>5.2620000000000005</v>
      </c>
      <c r="H26" s="29">
        <f t="shared" si="39"/>
        <v>4.7183333333333337</v>
      </c>
      <c r="I26" s="29">
        <f t="shared" si="39"/>
        <v>5.7590000000000003</v>
      </c>
      <c r="J26" s="29">
        <f t="shared" si="39"/>
        <v>6.4141250000000003</v>
      </c>
      <c r="K26" s="29">
        <f t="shared" si="39"/>
        <v>6.5903333333333336</v>
      </c>
      <c r="L26" s="29">
        <f t="shared" si="39"/>
        <v>5.9313000000000002</v>
      </c>
      <c r="M26" s="50">
        <f t="shared" si="39"/>
        <v>5.3920909090909097</v>
      </c>
      <c r="N26" s="51">
        <f t="shared" si="39"/>
        <v>4.9427500000000002</v>
      </c>
      <c r="O26" s="29">
        <f t="shared" si="39"/>
        <v>4.5625384615384617</v>
      </c>
      <c r="P26" s="29">
        <f t="shared" si="39"/>
        <v>4.2366428571428569</v>
      </c>
      <c r="Q26" s="29">
        <f t="shared" si="39"/>
        <v>3.9542000000000002</v>
      </c>
      <c r="R26" s="29">
        <f t="shared" si="39"/>
        <v>3.7070625000000001</v>
      </c>
      <c r="S26" s="29">
        <f t="shared" si="39"/>
        <v>3.4890000000000003</v>
      </c>
      <c r="T26" s="29">
        <f t="shared" si="39"/>
        <v>3.2951666666666668</v>
      </c>
      <c r="U26" s="29">
        <f t="shared" si="39"/>
        <v>3.1217368421052631</v>
      </c>
      <c r="V26" s="29">
        <f t="shared" si="39"/>
        <v>2.9656500000000001</v>
      </c>
      <c r="W26" s="29">
        <f t="shared" si="39"/>
        <v>2.8244285714285717</v>
      </c>
      <c r="X26" s="29">
        <f t="shared" si="39"/>
        <v>2.6960454545454549</v>
      </c>
      <c r="Y26" s="29">
        <f t="shared" si="39"/>
        <v>2.5788260869565218</v>
      </c>
    </row>
    <row r="27" spans="1:25" x14ac:dyDescent="0.25">
      <c r="A27" s="70"/>
      <c r="B27" s="8" t="str">
        <f xml:space="preserve"> CONCATENATE(Setup!$B$9, ", ", LEFT(Setup!$C$9,2))</f>
        <v>Dylan, DW</v>
      </c>
      <c r="C27" s="29">
        <f t="shared" si="38"/>
        <v>1.25</v>
      </c>
      <c r="D27" s="29">
        <f t="shared" si="38"/>
        <v>2.125</v>
      </c>
      <c r="E27" s="29">
        <f t="shared" si="38"/>
        <v>4.416666666666667</v>
      </c>
      <c r="F27" s="29">
        <f t="shared" ref="F27:Y27" si="40" xml:space="preserve"> F21 / F$6</f>
        <v>4.1875</v>
      </c>
      <c r="G27" s="29">
        <f t="shared" si="40"/>
        <v>3.65</v>
      </c>
      <c r="H27" s="29">
        <f t="shared" si="40"/>
        <v>3.8861666666666665</v>
      </c>
      <c r="I27" s="29">
        <f t="shared" si="40"/>
        <v>4.116714285714286</v>
      </c>
      <c r="J27" s="29">
        <f t="shared" si="40"/>
        <v>4.352125</v>
      </c>
      <c r="K27" s="29">
        <f t="shared" si="40"/>
        <v>4.4241111111111113</v>
      </c>
      <c r="L27" s="29">
        <f t="shared" si="40"/>
        <v>3.9817</v>
      </c>
      <c r="M27" s="50">
        <f t="shared" si="40"/>
        <v>3.6197272727272729</v>
      </c>
      <c r="N27" s="51">
        <f t="shared" si="40"/>
        <v>3.3180833333333335</v>
      </c>
      <c r="O27" s="29">
        <f t="shared" si="40"/>
        <v>3.062846153846154</v>
      </c>
      <c r="P27" s="29">
        <f t="shared" si="40"/>
        <v>2.8440714285714286</v>
      </c>
      <c r="Q27" s="29">
        <f t="shared" si="40"/>
        <v>2.6544666666666665</v>
      </c>
      <c r="R27" s="29">
        <f t="shared" si="40"/>
        <v>2.4885625</v>
      </c>
      <c r="S27" s="29">
        <f t="shared" si="40"/>
        <v>2.3421764705882353</v>
      </c>
      <c r="T27" s="29">
        <f t="shared" si="40"/>
        <v>2.2120555555555557</v>
      </c>
      <c r="U27" s="29">
        <f t="shared" si="40"/>
        <v>2.0956315789473683</v>
      </c>
      <c r="V27" s="29">
        <f t="shared" si="40"/>
        <v>1.99085</v>
      </c>
      <c r="W27" s="29">
        <f t="shared" si="40"/>
        <v>1.896047619047619</v>
      </c>
      <c r="X27" s="29">
        <f t="shared" si="40"/>
        <v>1.8098636363636365</v>
      </c>
      <c r="Y27" s="29">
        <f t="shared" si="40"/>
        <v>1.7311739130434782</v>
      </c>
    </row>
    <row r="28" spans="1:25" x14ac:dyDescent="0.25">
      <c r="A28" s="70"/>
      <c r="B28" s="8" t="e">
        <f xml:space="preserve"> CONCATENATE(Setup!#REF!, ", ", LEFT(Setup!#REF!,2))</f>
        <v>#REF!</v>
      </c>
      <c r="C28" s="29">
        <f t="shared" si="38"/>
        <v>0</v>
      </c>
      <c r="D28" s="29">
        <f t="shared" si="38"/>
        <v>0</v>
      </c>
      <c r="E28" s="29">
        <f t="shared" si="38"/>
        <v>0</v>
      </c>
      <c r="F28" s="29">
        <f t="shared" ref="F28:Y28" si="41" xml:space="preserve"> F22 / F$6</f>
        <v>0</v>
      </c>
      <c r="G28" s="29">
        <f t="shared" si="41"/>
        <v>0</v>
      </c>
      <c r="H28" s="29">
        <f t="shared" si="41"/>
        <v>0</v>
      </c>
      <c r="I28" s="29">
        <f t="shared" si="41"/>
        <v>0</v>
      </c>
      <c r="J28" s="29">
        <f t="shared" si="41"/>
        <v>0</v>
      </c>
      <c r="K28" s="29">
        <f t="shared" si="41"/>
        <v>0</v>
      </c>
      <c r="L28" s="29">
        <f t="shared" si="41"/>
        <v>0</v>
      </c>
      <c r="M28" s="50">
        <f t="shared" si="41"/>
        <v>0</v>
      </c>
      <c r="N28" s="51">
        <f t="shared" si="41"/>
        <v>0</v>
      </c>
      <c r="O28" s="29">
        <f t="shared" si="41"/>
        <v>0</v>
      </c>
      <c r="P28" s="29">
        <f t="shared" si="41"/>
        <v>0</v>
      </c>
      <c r="Q28" s="29">
        <f t="shared" si="41"/>
        <v>0</v>
      </c>
      <c r="R28" s="29">
        <f t="shared" si="41"/>
        <v>0</v>
      </c>
      <c r="S28" s="29">
        <f t="shared" si="41"/>
        <v>0</v>
      </c>
      <c r="T28" s="29">
        <f t="shared" si="41"/>
        <v>0</v>
      </c>
      <c r="U28" s="29">
        <f t="shared" si="41"/>
        <v>0</v>
      </c>
      <c r="V28" s="29">
        <f t="shared" si="41"/>
        <v>0</v>
      </c>
      <c r="W28" s="29">
        <f t="shared" si="41"/>
        <v>0</v>
      </c>
      <c r="X28" s="29">
        <f t="shared" si="41"/>
        <v>0</v>
      </c>
      <c r="Y28" s="29">
        <f t="shared" si="41"/>
        <v>0</v>
      </c>
    </row>
    <row r="29" spans="1:25" ht="15.75" x14ac:dyDescent="0.25">
      <c r="A29" s="70"/>
      <c r="B29" s="9" t="s">
        <v>30</v>
      </c>
      <c r="C29" s="30">
        <f t="shared" si="38"/>
        <v>5.91</v>
      </c>
      <c r="D29" s="30">
        <f t="shared" si="38"/>
        <v>11.455</v>
      </c>
      <c r="E29" s="30">
        <f t="shared" si="38"/>
        <v>13.936666666666667</v>
      </c>
      <c r="F29" s="30">
        <f t="shared" ref="F29:Y29" si="42" xml:space="preserve"> F23 / F$6</f>
        <v>13.14</v>
      </c>
      <c r="G29" s="30">
        <f t="shared" si="42"/>
        <v>12.612</v>
      </c>
      <c r="H29" s="30">
        <f t="shared" si="42"/>
        <v>12.521166666666668</v>
      </c>
      <c r="I29" s="30">
        <f t="shared" si="42"/>
        <v>14.732857142857144</v>
      </c>
      <c r="J29" s="30">
        <f t="shared" si="42"/>
        <v>16.391249999999999</v>
      </c>
      <c r="K29" s="30">
        <f t="shared" si="42"/>
        <v>17.014444444444443</v>
      </c>
      <c r="L29" s="30">
        <f t="shared" si="42"/>
        <v>15.312999999999999</v>
      </c>
      <c r="M29" s="52">
        <f t="shared" si="42"/>
        <v>13.92090909090909</v>
      </c>
      <c r="N29" s="53">
        <f t="shared" si="42"/>
        <v>12.760833333333332</v>
      </c>
      <c r="O29" s="30">
        <f t="shared" si="42"/>
        <v>11.779230769230768</v>
      </c>
      <c r="P29" s="30">
        <f t="shared" si="42"/>
        <v>10.937857142857142</v>
      </c>
      <c r="Q29" s="30">
        <f t="shared" si="42"/>
        <v>10.208666666666666</v>
      </c>
      <c r="R29" s="30">
        <f t="shared" si="42"/>
        <v>9.5706249999999997</v>
      </c>
      <c r="S29" s="30">
        <f t="shared" si="42"/>
        <v>9.0076470588235296</v>
      </c>
      <c r="T29" s="30">
        <f t="shared" si="42"/>
        <v>8.5072222222222216</v>
      </c>
      <c r="U29" s="30">
        <f t="shared" si="42"/>
        <v>8.0594736842105252</v>
      </c>
      <c r="V29" s="30">
        <f t="shared" si="42"/>
        <v>7.6564999999999994</v>
      </c>
      <c r="W29" s="30">
        <f t="shared" si="42"/>
        <v>7.2919047619047621</v>
      </c>
      <c r="X29" s="30">
        <f t="shared" si="42"/>
        <v>6.960454545454545</v>
      </c>
      <c r="Y29" s="30">
        <f t="shared" si="42"/>
        <v>6.6578260869565211</v>
      </c>
    </row>
  </sheetData>
  <mergeCells count="18">
    <mergeCell ref="C1:M1"/>
    <mergeCell ref="L4:M4"/>
    <mergeCell ref="N4:O4"/>
    <mergeCell ref="P4:Q4"/>
    <mergeCell ref="R4:S4"/>
    <mergeCell ref="C4:E4"/>
    <mergeCell ref="F4:G4"/>
    <mergeCell ref="H4:I4"/>
    <mergeCell ref="J4:K4"/>
    <mergeCell ref="A7:A11"/>
    <mergeCell ref="A25:A29"/>
    <mergeCell ref="A19:A23"/>
    <mergeCell ref="X4:Y4"/>
    <mergeCell ref="C3:M3"/>
    <mergeCell ref="N3:Y3"/>
    <mergeCell ref="T4:U4"/>
    <mergeCell ref="V4:W4"/>
    <mergeCell ref="A13:A17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workbookViewId="0">
      <selection activeCell="C4" sqref="C4"/>
    </sheetView>
  </sheetViews>
  <sheetFormatPr defaultColWidth="8.85546875" defaultRowHeight="15" x14ac:dyDescent="0.25"/>
  <cols>
    <col min="2" max="2" width="15.7109375" customWidth="1"/>
  </cols>
  <sheetData>
    <row r="1" spans="1:23" ht="18.75" x14ac:dyDescent="0.3">
      <c r="C1" s="14" t="s">
        <v>29</v>
      </c>
    </row>
    <row r="2" spans="1:23" ht="18.75" x14ac:dyDescent="0.3">
      <c r="B2" s="23" t="str">
        <f>SheetName</f>
        <v>Sprint 0</v>
      </c>
      <c r="C2" s="27" t="s">
        <v>38</v>
      </c>
    </row>
    <row r="3" spans="1:23" x14ac:dyDescent="0.25">
      <c r="B3" s="31" t="s">
        <v>36</v>
      </c>
      <c r="C3" s="81" t="s">
        <v>32</v>
      </c>
      <c r="D3" s="82"/>
      <c r="E3" s="82"/>
      <c r="F3" s="82"/>
      <c r="G3" s="82"/>
      <c r="H3" s="82"/>
      <c r="I3" s="82"/>
      <c r="J3" s="82" t="s">
        <v>33</v>
      </c>
      <c r="K3" s="82"/>
      <c r="L3" s="82"/>
      <c r="M3" s="82"/>
      <c r="N3" s="82"/>
      <c r="O3" s="82"/>
      <c r="P3" s="82"/>
      <c r="Q3" s="82" t="s">
        <v>34</v>
      </c>
      <c r="R3" s="82"/>
      <c r="S3" s="82"/>
      <c r="T3" s="82"/>
      <c r="U3" s="82"/>
      <c r="V3" s="82"/>
      <c r="W3" s="83"/>
    </row>
    <row r="4" spans="1:23" x14ac:dyDescent="0.25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5">
        <f t="shared" si="0"/>
        <v>42260</v>
      </c>
      <c r="J4" s="56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5">
        <f t="shared" si="0"/>
        <v>42267</v>
      </c>
      <c r="Q4" s="56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  <c r="Q5" s="58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4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59">
        <v>0</v>
      </c>
      <c r="J6" s="60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  <c r="Q6" s="66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84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59">
        <v>0</v>
      </c>
      <c r="J7" s="60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  <c r="Q7" s="67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84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59">
        <v>0</v>
      </c>
      <c r="J8" s="60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59">
        <v>0</v>
      </c>
      <c r="Q8" s="67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.5" thickTop="1" thickBot="1" x14ac:dyDescent="0.3">
      <c r="A9" s="84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59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  <c r="Q9" s="68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84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1">
        <f t="shared" si="1"/>
        <v>0</v>
      </c>
      <c r="Q10" s="62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  <c r="Q11" s="62"/>
      <c r="R11" s="21"/>
      <c r="S11" s="21"/>
      <c r="T11" s="21"/>
      <c r="U11" s="21"/>
      <c r="V11" s="21"/>
      <c r="W11" s="21"/>
    </row>
    <row r="12" spans="1:23" ht="15.75" thickBot="1" x14ac:dyDescent="0.3">
      <c r="A12" s="84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3">
        <f t="shared" si="2"/>
        <v>2</v>
      </c>
      <c r="J12" s="64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3">
        <f t="shared" si="2"/>
        <v>3</v>
      </c>
      <c r="Q12" s="64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.75" thickBot="1" x14ac:dyDescent="0.3">
      <c r="A13" s="84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3">
        <f t="shared" si="3"/>
        <v>0.5</v>
      </c>
      <c r="Q13" s="64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.75" thickBot="1" x14ac:dyDescent="0.3">
      <c r="A14" s="84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3">
        <f t="shared" si="4"/>
        <v>1</v>
      </c>
      <c r="J14" s="64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3">
        <f t="shared" si="4"/>
        <v>2.75</v>
      </c>
      <c r="Q14" s="64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.75" thickBot="1" x14ac:dyDescent="0.3">
      <c r="A15" s="84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  <c r="Q15" s="64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84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1">
        <f t="shared" si="6"/>
        <v>3</v>
      </c>
      <c r="J16" s="62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1">
        <f t="shared" si="6"/>
        <v>6.25</v>
      </c>
      <c r="Q16" s="62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  <c r="Q17" s="62"/>
      <c r="R17" s="21"/>
      <c r="S17" s="21"/>
      <c r="T17" s="21"/>
      <c r="U17" s="21"/>
      <c r="V17" s="21"/>
      <c r="W17" s="21"/>
    </row>
    <row r="18" spans="1:23" ht="15.75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59">
        <v>0</v>
      </c>
      <c r="J18" s="60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59">
        <v>0</v>
      </c>
      <c r="Q18" s="66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.5" thickTop="1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59">
        <v>0</v>
      </c>
      <c r="J19" s="60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59">
        <v>2.5</v>
      </c>
      <c r="Q19" s="67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59">
        <v>0</v>
      </c>
      <c r="J20" s="60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59">
        <v>0</v>
      </c>
      <c r="Q20" s="67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.5" thickTop="1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59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  <c r="Q21" s="68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1">
        <f t="shared" si="7"/>
        <v>2.5</v>
      </c>
      <c r="Q22" s="62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  <c r="Q23" s="62"/>
      <c r="R23" s="21"/>
      <c r="S23" s="21"/>
      <c r="T23" s="21"/>
      <c r="U23" s="21"/>
      <c r="V23" s="21"/>
      <c r="W23" s="21"/>
    </row>
    <row r="24" spans="1:23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3">
        <f t="shared" si="9"/>
        <v>4</v>
      </c>
      <c r="Q24" s="64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0.33</v>
      </c>
      <c r="E25" s="22">
        <f t="shared" ref="E25:I25" si="10" xml:space="preserve"> D$25 + E$19</f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3">
        <f t="shared" si="10"/>
        <v>2.66</v>
      </c>
      <c r="J25" s="64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3">
        <f t="shared" si="11"/>
        <v>11.16</v>
      </c>
      <c r="Q25" s="64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0.25</v>
      </c>
      <c r="E26" s="22">
        <f t="shared" ref="E26:I26" si="12" xml:space="preserve"> D$26 + E$20</f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3">
        <f t="shared" si="12"/>
        <v>0.25</v>
      </c>
      <c r="J26" s="64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3">
        <f t="shared" si="13"/>
        <v>1.5</v>
      </c>
      <c r="Q26" s="64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3">
        <f t="shared" si="14"/>
        <v>0</v>
      </c>
      <c r="J27" s="64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3">
        <f t="shared" si="15"/>
        <v>0</v>
      </c>
      <c r="Q27" s="64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1">
        <f t="shared" si="16"/>
        <v>2.91</v>
      </c>
      <c r="J28" s="62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1">
        <f t="shared" si="16"/>
        <v>16.66</v>
      </c>
      <c r="Q28" s="62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  <c r="Q29" s="62"/>
      <c r="R29" s="21"/>
      <c r="S29" s="21"/>
      <c r="T29" s="21"/>
      <c r="U29" s="21"/>
      <c r="V29" s="21"/>
      <c r="W29" s="21"/>
    </row>
    <row r="30" spans="1:23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3">
        <f t="shared" si="17"/>
        <v>0.2857142857142857</v>
      </c>
      <c r="J30" s="64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3">
        <f t="shared" si="17"/>
        <v>0.5</v>
      </c>
      <c r="Q30" s="64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3">
        <f t="shared" si="18"/>
        <v>0.38</v>
      </c>
      <c r="J31" s="64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3">
        <f t="shared" si="18"/>
        <v>0.83285714285714285</v>
      </c>
      <c r="Q31" s="64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3">
        <f t="shared" si="19"/>
        <v>0.17857142857142858</v>
      </c>
      <c r="J32" s="64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3">
        <f t="shared" si="19"/>
        <v>0.30357142857142855</v>
      </c>
      <c r="Q32" s="64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3">
        <f t="shared" si="20"/>
        <v>0</v>
      </c>
      <c r="J33" s="64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3">
        <f t="shared" si="20"/>
        <v>0</v>
      </c>
      <c r="Q33" s="64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1">
        <f t="shared" si="21"/>
        <v>0.84428571428571431</v>
      </c>
      <c r="J34" s="62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1">
        <f t="shared" si="21"/>
        <v>1.6364285714285713</v>
      </c>
      <c r="Q34" s="62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22" xml:space="preserve"> SUM(C7:I7) + SUM(C19:I19)</f>
        <v>2.66</v>
      </c>
      <c r="D38" s="25">
        <f t="shared" ref="D38:D40" si="23" xml:space="preserve"> SUM(J7:P7) + SUM(J19:P19)</f>
        <v>9</v>
      </c>
      <c r="E38" s="25">
        <f t="shared" ref="E38:E40" si="24" xml:space="preserve"> SUM(Q7:W7) + SUM(Q19:W19)</f>
        <v>5.4</v>
      </c>
      <c r="F38" s="25">
        <f t="shared" ref="F38:F41" si="25" xml:space="preserve"> SUM(C38:E38)</f>
        <v>17.060000000000002</v>
      </c>
    </row>
    <row r="39" spans="1:23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22"/>
        <v>1.25</v>
      </c>
      <c r="D39" s="25">
        <f t="shared" si="23"/>
        <v>3</v>
      </c>
      <c r="E39" s="25">
        <f t="shared" si="24"/>
        <v>9</v>
      </c>
      <c r="F39" s="25">
        <f t="shared" si="25"/>
        <v>13.25</v>
      </c>
    </row>
    <row r="40" spans="1:23" ht="15.75" thickBot="1" x14ac:dyDescent="0.3">
      <c r="A40" s="80"/>
      <c r="B40" s="17" t="e">
        <f xml:space="preserve"> CONCATENATE(Setup!#REF!, ", ", LEFT(Setup!#REF!,2))</f>
        <v>#REF!</v>
      </c>
      <c r="C40" s="25">
        <f t="shared" si="22"/>
        <v>0</v>
      </c>
      <c r="D40" s="25">
        <f t="shared" si="23"/>
        <v>0</v>
      </c>
      <c r="E40" s="25">
        <f t="shared" si="24"/>
        <v>0</v>
      </c>
      <c r="F40" s="25">
        <f t="shared" si="25"/>
        <v>0</v>
      </c>
    </row>
    <row r="41" spans="1:23" ht="16.5" thickBot="1" x14ac:dyDescent="0.3">
      <c r="A41" s="80"/>
      <c r="B41" s="18" t="s">
        <v>30</v>
      </c>
      <c r="C41" s="21">
        <f xml:space="preserve"> SUM(C37:C40)</f>
        <v>5.91</v>
      </c>
      <c r="D41" s="21">
        <f t="shared" ref="D41:E41" si="26" xml:space="preserve"> SUM(D37:D40)</f>
        <v>17</v>
      </c>
      <c r="E41" s="21">
        <f t="shared" si="26"/>
        <v>18.899999999999999</v>
      </c>
      <c r="F41" s="21">
        <f t="shared" si="25"/>
        <v>41.81</v>
      </c>
    </row>
    <row r="42" spans="1:23" ht="15.75" thickBot="1" x14ac:dyDescent="0.3">
      <c r="A42" s="19"/>
    </row>
    <row r="43" spans="1:23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t="shared" ref="D44:D46" si="27" xml:space="preserve"> SUM(C38:D38) / D$36</f>
        <v>5.83</v>
      </c>
      <c r="E44" s="25">
        <f t="shared" ref="E44:E46" si="28" xml:space="preserve"> SUM(C38:E38) / E$36</f>
        <v>5.6866666666666674</v>
      </c>
    </row>
    <row r="45" spans="1:23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t="shared" si="27"/>
        <v>2.125</v>
      </c>
      <c r="E45" s="25">
        <f t="shared" si="28"/>
        <v>4.416666666666667</v>
      </c>
    </row>
    <row r="46" spans="1:23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t="shared" si="27"/>
        <v>0</v>
      </c>
      <c r="E46" s="25">
        <f t="shared" si="28"/>
        <v>0</v>
      </c>
    </row>
    <row r="47" spans="1:23" ht="16.5" thickBot="1" x14ac:dyDescent="0.3">
      <c r="A47" s="80"/>
      <c r="B47" s="18" t="s">
        <v>30</v>
      </c>
      <c r="C47" s="21">
        <f xml:space="preserve"> SUM(C43:C46)</f>
        <v>5.91</v>
      </c>
      <c r="D47" s="21">
        <f t="shared" ref="D47:E47" si="29" xml:space="preserve"> SUM(D43:D46)</f>
        <v>11.455</v>
      </c>
      <c r="E47" s="21">
        <f t="shared" si="29"/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Normal="100" zoomScalePageLayoutView="115" workbookViewId="0">
      <selection activeCell="C6" sqref="C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5">
        <f t="shared" si="0"/>
        <v>42281</v>
      </c>
      <c r="J4" s="56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5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0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1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1">
        <f t="shared" si="1"/>
        <v>2.5</v>
      </c>
      <c r="J10" s="62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3">
        <f t="shared" si="2"/>
        <v>1</v>
      </c>
      <c r="J12" s="64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3">
        <f t="shared" si="3"/>
        <v>0.5</v>
      </c>
      <c r="J13" s="64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3">
        <f t="shared" si="3"/>
        <v>2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3">
        <f t="shared" si="4"/>
        <v>3</v>
      </c>
      <c r="J14" s="64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3">
        <f t="shared" si="4"/>
        <v>4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1">
        <f t="shared" si="6"/>
        <v>4.5</v>
      </c>
      <c r="J16" s="62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1">
        <f t="shared" si="6"/>
        <v>12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1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1.5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1">
        <f t="shared" si="7"/>
        <v>1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2.5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1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3">
        <f t="shared" si="9"/>
        <v>5.75</v>
      </c>
      <c r="J25" s="64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3">
        <f t="shared" si="9"/>
        <v>7.25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0.5</v>
      </c>
      <c r="J26" s="64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3">
        <f t="shared" si="10"/>
        <v>1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1">
        <f t="shared" si="12"/>
        <v>6.25</v>
      </c>
      <c r="J28" s="62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1">
        <f t="shared" si="12"/>
        <v>9.25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3">
        <f t="shared" si="13"/>
        <v>0.14285714285714285</v>
      </c>
      <c r="J30" s="64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3">
        <f t="shared" si="14"/>
        <v>0.8928571428571429</v>
      </c>
      <c r="J31" s="64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3">
        <f t="shared" si="14"/>
        <v>0.6607142857142857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3">
        <f t="shared" si="15"/>
        <v>0.5</v>
      </c>
      <c r="J32" s="64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3">
        <f t="shared" si="15"/>
        <v>0.35714285714285715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1">
        <f t="shared" si="17"/>
        <v>1.5357142857142858</v>
      </c>
      <c r="J34" s="62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1">
        <f t="shared" si="17"/>
        <v>1.5178571428571428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6.25</v>
      </c>
      <c r="D38" s="25">
        <f t="shared" ref="D38:D40" si="19" xml:space="preserve"> SUM(J7:P7) + SUM(J19:P19)</f>
        <v>3</v>
      </c>
      <c r="E38" s="25">
        <f xml:space="preserve"> SUM(C38:D38)</f>
        <v>9.25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3.5</v>
      </c>
      <c r="D39" s="25">
        <f t="shared" si="19"/>
        <v>1.5</v>
      </c>
      <c r="E39" s="25">
        <f xml:space="preserve"> SUM(C39:D39)</f>
        <v>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10.75</v>
      </c>
      <c r="D41" s="21">
        <f t="shared" ref="D41" si="20" xml:space="preserve"> SUM(D37:D40)</f>
        <v>10.5</v>
      </c>
      <c r="E41" s="21">
        <f xml:space="preserve"> SUM(C41:D41)</f>
        <v>21.25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6.25</v>
      </c>
      <c r="D44" s="25">
        <f t="shared" ref="D44:D46" si="22" xml:space="preserve"> SUM(C38:D38) / D$36</f>
        <v>4.625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3.5</v>
      </c>
      <c r="D45" s="25">
        <f t="shared" si="22"/>
        <v>2.5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10.75</v>
      </c>
      <c r="D47" s="21">
        <f t="shared" ref="D47" si="23"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2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5">
        <f t="shared" si="0"/>
        <v>42295</v>
      </c>
      <c r="J4" s="56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5">
        <f t="shared" si="0"/>
        <v>42302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0.25</v>
      </c>
      <c r="G6" s="34">
        <v>3.75</v>
      </c>
      <c r="H6" s="34">
        <v>0</v>
      </c>
      <c r="I6" s="34">
        <v>1</v>
      </c>
      <c r="J6" s="60">
        <v>4.5170000000000003</v>
      </c>
      <c r="K6" s="33">
        <v>0.48299999999999998</v>
      </c>
      <c r="L6" s="33">
        <v>0</v>
      </c>
      <c r="M6" s="33">
        <v>0</v>
      </c>
      <c r="N6" s="33">
        <v>0</v>
      </c>
      <c r="O6" s="33">
        <v>0</v>
      </c>
      <c r="P6" s="59">
        <v>5.5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2</v>
      </c>
      <c r="K7" s="33">
        <v>6</v>
      </c>
      <c r="L7" s="33">
        <v>0</v>
      </c>
      <c r="M7" s="33">
        <v>0</v>
      </c>
      <c r="N7" s="33">
        <v>0</v>
      </c>
      <c r="O7" s="33">
        <v>0</v>
      </c>
      <c r="P7" s="59">
        <v>4.0030000000000001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5.0670000000000002</v>
      </c>
      <c r="J8" s="60">
        <v>0.5</v>
      </c>
      <c r="K8" s="33">
        <v>0</v>
      </c>
      <c r="L8" s="33">
        <v>0</v>
      </c>
      <c r="M8" s="33">
        <v>3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0.25</v>
      </c>
      <c r="G10" s="21">
        <f t="shared" si="1"/>
        <v>3.75</v>
      </c>
      <c r="H10" s="21">
        <f t="shared" si="1"/>
        <v>2</v>
      </c>
      <c r="I10" s="61">
        <f t="shared" si="1"/>
        <v>6.0670000000000002</v>
      </c>
      <c r="J10" s="62">
        <f t="shared" si="1"/>
        <v>7.0170000000000003</v>
      </c>
      <c r="K10" s="21">
        <f t="shared" si="1"/>
        <v>6.4829999999999997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2</v>
      </c>
      <c r="P10" s="61">
        <f t="shared" si="1"/>
        <v>9.5030000000000001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0.25</v>
      </c>
      <c r="G12" s="22">
        <f t="shared" si="2"/>
        <v>4</v>
      </c>
      <c r="H12" s="22">
        <f t="shared" si="2"/>
        <v>4</v>
      </c>
      <c r="I12" s="63">
        <f t="shared" si="2"/>
        <v>5</v>
      </c>
      <c r="J12" s="64">
        <f t="shared" si="2"/>
        <v>9.5169999999999995</v>
      </c>
      <c r="K12" s="22">
        <f t="shared" si="2"/>
        <v>10</v>
      </c>
      <c r="L12" s="22">
        <f t="shared" si="2"/>
        <v>10</v>
      </c>
      <c r="M12" s="22">
        <f t="shared" si="2"/>
        <v>10</v>
      </c>
      <c r="N12" s="22">
        <f t="shared" si="2"/>
        <v>10</v>
      </c>
      <c r="O12" s="22">
        <f t="shared" si="2"/>
        <v>10</v>
      </c>
      <c r="P12" s="63">
        <f t="shared" si="2"/>
        <v>15.5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4</v>
      </c>
      <c r="K13" s="22">
        <f t="shared" si="3"/>
        <v>10</v>
      </c>
      <c r="L13" s="22">
        <f t="shared" si="3"/>
        <v>10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3">
        <f t="shared" si="3"/>
        <v>14.003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5.0670000000000002</v>
      </c>
      <c r="J14" s="64">
        <f t="shared" si="4"/>
        <v>5.5670000000000002</v>
      </c>
      <c r="K14" s="22">
        <f t="shared" si="4"/>
        <v>5.5670000000000002</v>
      </c>
      <c r="L14" s="22">
        <f t="shared" si="4"/>
        <v>5.5670000000000002</v>
      </c>
      <c r="M14" s="22">
        <f t="shared" si="4"/>
        <v>8.5670000000000002</v>
      </c>
      <c r="N14" s="22">
        <f t="shared" si="4"/>
        <v>8.5670000000000002</v>
      </c>
      <c r="O14" s="22">
        <f t="shared" si="4"/>
        <v>10.567</v>
      </c>
      <c r="P14" s="63">
        <f t="shared" si="4"/>
        <v>10.567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0.25</v>
      </c>
      <c r="G16" s="21">
        <f t="shared" si="6"/>
        <v>4</v>
      </c>
      <c r="H16" s="21">
        <f t="shared" si="6"/>
        <v>6</v>
      </c>
      <c r="I16" s="61">
        <f t="shared" si="6"/>
        <v>12.067</v>
      </c>
      <c r="J16" s="62">
        <f t="shared" si="6"/>
        <v>19.084</v>
      </c>
      <c r="K16" s="21">
        <f t="shared" si="6"/>
        <v>25.567</v>
      </c>
      <c r="L16" s="21">
        <f t="shared" si="6"/>
        <v>25.567</v>
      </c>
      <c r="M16" s="21">
        <f t="shared" si="6"/>
        <v>28.567</v>
      </c>
      <c r="N16" s="21">
        <f t="shared" si="6"/>
        <v>28.567</v>
      </c>
      <c r="O16" s="21">
        <f t="shared" si="6"/>
        <v>30.567</v>
      </c>
      <c r="P16" s="61">
        <f t="shared" si="6"/>
        <v>40.07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6.25E-2</v>
      </c>
      <c r="G30" s="22">
        <f t="shared" si="13"/>
        <v>0.8</v>
      </c>
      <c r="H30" s="22">
        <f t="shared" si="13"/>
        <v>0.66666666666666663</v>
      </c>
      <c r="I30" s="63">
        <f t="shared" si="13"/>
        <v>0.7142857142857143</v>
      </c>
      <c r="J30" s="64">
        <f t="shared" si="13"/>
        <v>1.1896249999999999</v>
      </c>
      <c r="K30" s="22">
        <f t="shared" si="13"/>
        <v>1.1111111111111112</v>
      </c>
      <c r="L30" s="22">
        <f t="shared" si="13"/>
        <v>1</v>
      </c>
      <c r="M30" s="22">
        <f t="shared" si="13"/>
        <v>0.90909090909090906</v>
      </c>
      <c r="N30" s="22">
        <f t="shared" si="13"/>
        <v>0.83333333333333337</v>
      </c>
      <c r="O30" s="22">
        <f t="shared" si="13"/>
        <v>0.76923076923076927</v>
      </c>
      <c r="P30" s="63">
        <f t="shared" si="13"/>
        <v>1.1071428571428572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0.5</v>
      </c>
      <c r="K31" s="22">
        <f t="shared" si="14"/>
        <v>1.1111111111111112</v>
      </c>
      <c r="L31" s="22">
        <f t="shared" si="14"/>
        <v>1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3">
        <f t="shared" si="14"/>
        <v>1.0002142857142857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0.72385714285714287</v>
      </c>
      <c r="J32" s="64">
        <f t="shared" si="15"/>
        <v>0.69587500000000002</v>
      </c>
      <c r="K32" s="22">
        <f t="shared" si="15"/>
        <v>0.61855555555555553</v>
      </c>
      <c r="L32" s="22">
        <f t="shared" si="15"/>
        <v>0.55669999999999997</v>
      </c>
      <c r="M32" s="22">
        <f t="shared" si="15"/>
        <v>0.77881818181818185</v>
      </c>
      <c r="N32" s="22">
        <f t="shared" si="15"/>
        <v>0.71391666666666664</v>
      </c>
      <c r="O32" s="22">
        <f t="shared" si="15"/>
        <v>0.81284615384615388</v>
      </c>
      <c r="P32" s="63">
        <f t="shared" si="15"/>
        <v>0.75478571428571428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6.25E-2</v>
      </c>
      <c r="G34" s="21">
        <f t="shared" si="17"/>
        <v>0.8</v>
      </c>
      <c r="H34" s="21">
        <f t="shared" si="17"/>
        <v>1</v>
      </c>
      <c r="I34" s="61">
        <f t="shared" si="17"/>
        <v>1.7238571428571428</v>
      </c>
      <c r="J34" s="62">
        <f t="shared" si="17"/>
        <v>2.3855</v>
      </c>
      <c r="K34" s="21">
        <f t="shared" si="17"/>
        <v>2.8407777777777778</v>
      </c>
      <c r="L34" s="21">
        <f t="shared" si="17"/>
        <v>2.5567000000000002</v>
      </c>
      <c r="M34" s="21">
        <f t="shared" si="17"/>
        <v>2.597</v>
      </c>
      <c r="N34" s="21">
        <f t="shared" si="17"/>
        <v>2.3805833333333335</v>
      </c>
      <c r="O34" s="21">
        <f t="shared" si="17"/>
        <v>2.3513076923076923</v>
      </c>
      <c r="P34" s="61">
        <f t="shared" si="17"/>
        <v>2.8621428571428571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5</v>
      </c>
      <c r="D37" s="25">
        <f xml:space="preserve"> SUM(J6:P6) + SUM(J18:P18)</f>
        <v>10.5</v>
      </c>
      <c r="E37" s="25">
        <f xml:space="preserve"> SUM(C37:D37)</f>
        <v>15.5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2</v>
      </c>
      <c r="D38" s="25">
        <f t="shared" ref="D38:D40" si="19" xml:space="preserve"> SUM(J7:P7) + SUM(J19:P19)</f>
        <v>12.003</v>
      </c>
      <c r="E38" s="25">
        <f xml:space="preserve"> SUM(C38:D38)</f>
        <v>14.003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5.0670000000000002</v>
      </c>
      <c r="D39" s="25">
        <f t="shared" si="19"/>
        <v>5.5</v>
      </c>
      <c r="E39" s="25">
        <f xml:space="preserve"> SUM(C39:D39)</f>
        <v>10.567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12.067</v>
      </c>
      <c r="D41" s="21">
        <f t="shared" ref="D41" si="20" xml:space="preserve"> SUM(D37:D40)</f>
        <v>28.003</v>
      </c>
      <c r="E41" s="21">
        <f xml:space="preserve"> SUM(C41:D41)</f>
        <v>40.07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5</v>
      </c>
      <c r="D43" s="25">
        <f xml:space="preserve"> SUM(C37:D37) / D$36</f>
        <v>7.75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2</v>
      </c>
      <c r="D44" s="25">
        <f t="shared" ref="D44:D46" si="22" xml:space="preserve"> SUM(C38:D38) / D$36</f>
        <v>7.0015000000000001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5.0670000000000002</v>
      </c>
      <c r="D45" s="25">
        <f t="shared" si="22"/>
        <v>5.2835000000000001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12.067</v>
      </c>
      <c r="D47" s="21">
        <f t="shared" ref="D47" si="23" xml:space="preserve"> SUM(D43:D46)</f>
        <v>20.035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3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5">
        <f t="shared" si="0"/>
        <v>42309</v>
      </c>
      <c r="J4" s="56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5">
        <f t="shared" si="0"/>
        <v>42316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0.25</v>
      </c>
      <c r="D6" s="34">
        <v>2.75</v>
      </c>
      <c r="E6" s="34">
        <v>3</v>
      </c>
      <c r="F6" s="34">
        <v>0</v>
      </c>
      <c r="G6" s="34">
        <v>0</v>
      </c>
      <c r="H6" s="34">
        <v>0</v>
      </c>
      <c r="I6" s="34">
        <v>5</v>
      </c>
      <c r="J6" s="60">
        <v>3</v>
      </c>
      <c r="K6" s="33">
        <v>1</v>
      </c>
      <c r="L6" s="33">
        <v>3</v>
      </c>
      <c r="M6" s="33">
        <v>0</v>
      </c>
      <c r="N6" s="33">
        <v>0</v>
      </c>
      <c r="O6" s="33">
        <v>0</v>
      </c>
      <c r="P6" s="59">
        <v>2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5</v>
      </c>
      <c r="E7" s="34">
        <v>0</v>
      </c>
      <c r="F7" s="34">
        <v>0</v>
      </c>
      <c r="G7" s="34">
        <v>0</v>
      </c>
      <c r="H7" s="34">
        <v>2</v>
      </c>
      <c r="I7" s="34">
        <v>4</v>
      </c>
      <c r="J7" s="60">
        <v>0</v>
      </c>
      <c r="K7" s="33">
        <v>5</v>
      </c>
      <c r="L7" s="33">
        <v>0</v>
      </c>
      <c r="M7" s="33">
        <v>0</v>
      </c>
      <c r="N7" s="33">
        <v>0</v>
      </c>
      <c r="O7" s="33">
        <v>0</v>
      </c>
      <c r="P7" s="59">
        <v>3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2</v>
      </c>
      <c r="E8" s="34">
        <v>0</v>
      </c>
      <c r="F8" s="34">
        <v>0</v>
      </c>
      <c r="G8" s="34">
        <v>4</v>
      </c>
      <c r="H8" s="34">
        <v>0</v>
      </c>
      <c r="I8" s="34">
        <v>0</v>
      </c>
      <c r="J8" s="60">
        <v>1</v>
      </c>
      <c r="K8" s="33">
        <v>0</v>
      </c>
      <c r="L8" s="33">
        <v>2</v>
      </c>
      <c r="M8" s="33">
        <v>0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t="shared" ref="C10:P10" si="1" xml:space="preserve"> SUM(C6:C9)</f>
        <v>0.25</v>
      </c>
      <c r="D10" s="21">
        <f t="shared" si="1"/>
        <v>9.75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2</v>
      </c>
      <c r="I10" s="61">
        <f t="shared" si="1"/>
        <v>9</v>
      </c>
      <c r="J10" s="62">
        <f t="shared" si="1"/>
        <v>4</v>
      </c>
      <c r="K10" s="21">
        <f t="shared" si="1"/>
        <v>6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1">
        <f t="shared" si="1"/>
        <v>5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0.25</v>
      </c>
      <c r="D12" s="22">
        <f t="shared" ref="D12:P12" si="2" xml:space="preserve"> C$12 + D$6</f>
        <v>3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3">
        <f t="shared" si="2"/>
        <v>11</v>
      </c>
      <c r="J12" s="64">
        <f t="shared" si="2"/>
        <v>14</v>
      </c>
      <c r="K12" s="22">
        <f t="shared" si="2"/>
        <v>15</v>
      </c>
      <c r="L12" s="22">
        <f t="shared" si="2"/>
        <v>18</v>
      </c>
      <c r="M12" s="22">
        <f t="shared" si="2"/>
        <v>18</v>
      </c>
      <c r="N12" s="22">
        <f t="shared" si="2"/>
        <v>18</v>
      </c>
      <c r="O12" s="22">
        <f t="shared" si="2"/>
        <v>18</v>
      </c>
      <c r="P12" s="63">
        <f t="shared" si="2"/>
        <v>20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5</v>
      </c>
      <c r="E13" s="22">
        <f t="shared" si="3"/>
        <v>5</v>
      </c>
      <c r="F13" s="22">
        <f t="shared" si="3"/>
        <v>5</v>
      </c>
      <c r="G13" s="22">
        <f t="shared" si="3"/>
        <v>5</v>
      </c>
      <c r="H13" s="22">
        <f t="shared" si="3"/>
        <v>7</v>
      </c>
      <c r="I13" s="63">
        <f t="shared" si="3"/>
        <v>11</v>
      </c>
      <c r="J13" s="64">
        <f t="shared" si="3"/>
        <v>11</v>
      </c>
      <c r="K13" s="22">
        <f t="shared" si="3"/>
        <v>16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19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2</v>
      </c>
      <c r="G14" s="22">
        <f t="shared" si="4"/>
        <v>6</v>
      </c>
      <c r="H14" s="22">
        <f t="shared" si="4"/>
        <v>6</v>
      </c>
      <c r="I14" s="63">
        <f t="shared" si="4"/>
        <v>6</v>
      </c>
      <c r="J14" s="64">
        <f t="shared" si="4"/>
        <v>7</v>
      </c>
      <c r="K14" s="22">
        <f t="shared" si="4"/>
        <v>7</v>
      </c>
      <c r="L14" s="22">
        <f t="shared" si="4"/>
        <v>9</v>
      </c>
      <c r="M14" s="22">
        <f t="shared" si="4"/>
        <v>9</v>
      </c>
      <c r="N14" s="22">
        <f t="shared" si="4"/>
        <v>9</v>
      </c>
      <c r="O14" s="22">
        <f t="shared" si="4"/>
        <v>11</v>
      </c>
      <c r="P14" s="63">
        <f t="shared" si="4"/>
        <v>11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0.25</v>
      </c>
      <c r="D16" s="21">
        <f t="shared" ref="D16:P16" si="6" xml:space="preserve"> SUM(D12:D15)</f>
        <v>10</v>
      </c>
      <c r="E16" s="21">
        <f t="shared" si="6"/>
        <v>13</v>
      </c>
      <c r="F16" s="21">
        <f t="shared" si="6"/>
        <v>13</v>
      </c>
      <c r="G16" s="21">
        <f t="shared" si="6"/>
        <v>17</v>
      </c>
      <c r="H16" s="21">
        <f t="shared" si="6"/>
        <v>19</v>
      </c>
      <c r="I16" s="61">
        <f t="shared" si="6"/>
        <v>28</v>
      </c>
      <c r="J16" s="62">
        <f t="shared" si="6"/>
        <v>32</v>
      </c>
      <c r="K16" s="21">
        <f t="shared" si="6"/>
        <v>38</v>
      </c>
      <c r="L16" s="21">
        <f t="shared" si="6"/>
        <v>43</v>
      </c>
      <c r="M16" s="21">
        <f t="shared" si="6"/>
        <v>43</v>
      </c>
      <c r="N16" s="21">
        <f t="shared" si="6"/>
        <v>43</v>
      </c>
      <c r="O16" s="21">
        <f t="shared" si="6"/>
        <v>45</v>
      </c>
      <c r="P16" s="61">
        <f t="shared" si="6"/>
        <v>50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0.25</v>
      </c>
      <c r="D30" s="22">
        <f t="shared" si="13"/>
        <v>1.5</v>
      </c>
      <c r="E30" s="22">
        <f t="shared" si="13"/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3">
        <f t="shared" si="13"/>
        <v>1.5714285714285714</v>
      </c>
      <c r="J30" s="64">
        <f t="shared" si="13"/>
        <v>1.75</v>
      </c>
      <c r="K30" s="22">
        <f t="shared" si="13"/>
        <v>1.6666666666666667</v>
      </c>
      <c r="L30" s="22">
        <f t="shared" si="13"/>
        <v>1.8</v>
      </c>
      <c r="M30" s="22">
        <f t="shared" si="13"/>
        <v>1.6363636363636365</v>
      </c>
      <c r="N30" s="22">
        <f t="shared" si="13"/>
        <v>1.5</v>
      </c>
      <c r="O30" s="22">
        <f t="shared" si="13"/>
        <v>1.3846153846153846</v>
      </c>
      <c r="P30" s="63">
        <f t="shared" si="13"/>
        <v>1.4285714285714286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2.5</v>
      </c>
      <c r="E31" s="22">
        <f t="shared" si="14"/>
        <v>1.6666666666666667</v>
      </c>
      <c r="F31" s="22">
        <f t="shared" si="14"/>
        <v>1.25</v>
      </c>
      <c r="G31" s="22">
        <f t="shared" si="14"/>
        <v>1</v>
      </c>
      <c r="H31" s="22">
        <f t="shared" si="14"/>
        <v>1.1666666666666667</v>
      </c>
      <c r="I31" s="63">
        <f t="shared" si="14"/>
        <v>1.5714285714285714</v>
      </c>
      <c r="J31" s="64">
        <f t="shared" si="14"/>
        <v>1.375</v>
      </c>
      <c r="K31" s="22">
        <f t="shared" si="14"/>
        <v>1.7777777777777777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1.3571428571428572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1</v>
      </c>
      <c r="E32" s="22">
        <f t="shared" si="15"/>
        <v>0.66666666666666663</v>
      </c>
      <c r="F32" s="22">
        <f t="shared" si="15"/>
        <v>0.5</v>
      </c>
      <c r="G32" s="22">
        <f t="shared" si="15"/>
        <v>1.2</v>
      </c>
      <c r="H32" s="22">
        <f t="shared" si="15"/>
        <v>1</v>
      </c>
      <c r="I32" s="63">
        <f t="shared" si="15"/>
        <v>0.8571428571428571</v>
      </c>
      <c r="J32" s="64">
        <f t="shared" si="15"/>
        <v>0.875</v>
      </c>
      <c r="K32" s="22">
        <f t="shared" si="15"/>
        <v>0.77777777777777779</v>
      </c>
      <c r="L32" s="22">
        <f t="shared" si="15"/>
        <v>0.9</v>
      </c>
      <c r="M32" s="22">
        <f t="shared" si="15"/>
        <v>0.81818181818181823</v>
      </c>
      <c r="N32" s="22">
        <f t="shared" si="15"/>
        <v>0.75</v>
      </c>
      <c r="O32" s="22">
        <f t="shared" si="15"/>
        <v>0.84615384615384615</v>
      </c>
      <c r="P32" s="63">
        <f t="shared" si="15"/>
        <v>0.7857142857142857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0.25</v>
      </c>
      <c r="D34" s="21">
        <f t="shared" ref="D34:P34" si="17" xml:space="preserve"> SUM(D30:D33)</f>
        <v>5</v>
      </c>
      <c r="E34" s="21">
        <f t="shared" si="17"/>
        <v>4.3333333333333339</v>
      </c>
      <c r="F34" s="21">
        <f t="shared" si="17"/>
        <v>3.25</v>
      </c>
      <c r="G34" s="21">
        <f t="shared" si="17"/>
        <v>3.4000000000000004</v>
      </c>
      <c r="H34" s="21">
        <f t="shared" si="17"/>
        <v>3.166666666666667</v>
      </c>
      <c r="I34" s="61">
        <f t="shared" si="17"/>
        <v>4</v>
      </c>
      <c r="J34" s="62">
        <f t="shared" si="17"/>
        <v>4</v>
      </c>
      <c r="K34" s="21">
        <f t="shared" si="17"/>
        <v>4.2222222222222223</v>
      </c>
      <c r="L34" s="21">
        <f t="shared" si="17"/>
        <v>4.3000000000000007</v>
      </c>
      <c r="M34" s="21">
        <f t="shared" si="17"/>
        <v>3.9090909090909092</v>
      </c>
      <c r="N34" s="21">
        <f t="shared" si="17"/>
        <v>3.583333333333333</v>
      </c>
      <c r="O34" s="21">
        <f t="shared" si="17"/>
        <v>3.4615384615384617</v>
      </c>
      <c r="P34" s="61">
        <f t="shared" si="17"/>
        <v>3.5714285714285712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11</v>
      </c>
      <c r="D37" s="25">
        <f xml:space="preserve"> SUM(J6:P6) + SUM(J18:P18)</f>
        <v>9</v>
      </c>
      <c r="E37" s="25">
        <f xml:space="preserve"> SUM(C37:D37)</f>
        <v>20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11</v>
      </c>
      <c r="D38" s="25">
        <f xml:space="preserve"> SUM(J7:P7) + SUM(J19:P19)</f>
        <v>8</v>
      </c>
      <c r="E38" s="25">
        <f xml:space="preserve"> SUM(C38:D38)</f>
        <v>19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6</v>
      </c>
      <c r="D39" s="25">
        <f xml:space="preserve"> SUM(J8:P8) + SUM(J20:P20)</f>
        <v>5</v>
      </c>
      <c r="E39" s="25">
        <f xml:space="preserve"> SUM(C39:D39)</f>
        <v>11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28</v>
      </c>
      <c r="D41" s="21">
        <f t="shared" ref="D41" si="18" xml:space="preserve"> SUM(D37:D40)</f>
        <v>22</v>
      </c>
      <c r="E41" s="21">
        <f xml:space="preserve"> SUM(C41:D41)</f>
        <v>50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11</v>
      </c>
      <c r="D43" s="25">
        <f xml:space="preserve"> SUM(C37:D37) / D$36</f>
        <v>10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19" xml:space="preserve"> C38 / C$36</f>
        <v>11</v>
      </c>
      <c r="D44" s="25">
        <f t="shared" ref="D44:D46" si="20" xml:space="preserve"> SUM(C38:D38) / D$36</f>
        <v>9.5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19"/>
        <v>6</v>
      </c>
      <c r="D45" s="25">
        <f t="shared" si="20"/>
        <v>5.5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19"/>
        <v>0</v>
      </c>
      <c r="D46" s="25">
        <f t="shared" si="20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28</v>
      </c>
      <c r="D47" s="21">
        <f t="shared" ref="D47" si="21" xml:space="preserve"> SUM(D43:D46)</f>
        <v>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4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5">
        <f t="shared" si="0"/>
        <v>42323</v>
      </c>
      <c r="J4" s="56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5">
        <f t="shared" si="0"/>
        <v>42330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5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5">
        <f t="shared" si="0"/>
        <v>42386</v>
      </c>
      <c r="J4" s="56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5">
        <f t="shared" si="0"/>
        <v>42393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6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5">
        <f t="shared" si="0"/>
        <v>42400</v>
      </c>
      <c r="J4" s="56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5">
        <f t="shared" si="0"/>
        <v>42407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7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5">
        <f t="shared" si="0"/>
        <v>42414</v>
      </c>
      <c r="J4" s="56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5">
        <f t="shared" si="0"/>
        <v>42421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8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5">
        <f t="shared" si="0"/>
        <v>42428</v>
      </c>
      <c r="J4" s="56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5">
        <f t="shared" si="0"/>
        <v>42435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9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+ 63</f>
        <v>42443</v>
      </c>
      <c r="D4" s="15">
        <f xml:space="preserve"> C$4 + 1</f>
        <v>42444</v>
      </c>
      <c r="E4" s="15">
        <f t="shared" ref="E4:P4" si="0" xml:space="preserve"> D$4 + 1</f>
        <v>42445</v>
      </c>
      <c r="F4" s="15">
        <f t="shared" si="0"/>
        <v>42446</v>
      </c>
      <c r="G4" s="15">
        <f t="shared" si="0"/>
        <v>42447</v>
      </c>
      <c r="H4" s="15">
        <f t="shared" si="0"/>
        <v>42448</v>
      </c>
      <c r="I4" s="55">
        <f t="shared" si="0"/>
        <v>42449</v>
      </c>
      <c r="J4" s="56">
        <f t="shared" si="0"/>
        <v>42450</v>
      </c>
      <c r="K4" s="15">
        <f t="shared" si="0"/>
        <v>42451</v>
      </c>
      <c r="L4" s="15">
        <f t="shared" si="0"/>
        <v>42452</v>
      </c>
      <c r="M4" s="15">
        <f t="shared" si="0"/>
        <v>42453</v>
      </c>
      <c r="N4" s="15">
        <f t="shared" si="0"/>
        <v>42454</v>
      </c>
      <c r="O4" s="15">
        <f t="shared" si="0"/>
        <v>42455</v>
      </c>
      <c r="P4" s="55">
        <f t="shared" si="0"/>
        <v>42456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10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+ 77</f>
        <v>42457</v>
      </c>
      <c r="D4" s="15">
        <f xml:space="preserve"> C$4 + 1</f>
        <v>42458</v>
      </c>
      <c r="E4" s="15">
        <f t="shared" ref="E4:P4" si="0" xml:space="preserve"> D$4 + 1</f>
        <v>42459</v>
      </c>
      <c r="F4" s="15">
        <f t="shared" si="0"/>
        <v>42460</v>
      </c>
      <c r="G4" s="15">
        <f t="shared" si="0"/>
        <v>42461</v>
      </c>
      <c r="H4" s="15">
        <f t="shared" si="0"/>
        <v>42462</v>
      </c>
      <c r="I4" s="55">
        <f t="shared" si="0"/>
        <v>42463</v>
      </c>
      <c r="J4" s="56">
        <f t="shared" si="0"/>
        <v>42464</v>
      </c>
      <c r="K4" s="15">
        <f t="shared" si="0"/>
        <v>42465</v>
      </c>
      <c r="L4" s="15">
        <f t="shared" si="0"/>
        <v>42466</v>
      </c>
      <c r="M4" s="15">
        <f t="shared" si="0"/>
        <v>42467</v>
      </c>
      <c r="N4" s="15">
        <f t="shared" si="0"/>
        <v>42468</v>
      </c>
      <c r="O4" s="15">
        <f t="shared" si="0"/>
        <v>42469</v>
      </c>
      <c r="P4" s="55">
        <f t="shared" si="0"/>
        <v>42470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F20" sqref="F20"/>
    </sheetView>
  </sheetViews>
  <sheetFormatPr defaultColWidth="8.85546875"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26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25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28</v>
      </c>
    </row>
    <row r="7" spans="1:3" ht="15.75" thickBot="1" x14ac:dyDescent="0.3">
      <c r="A7" s="3" t="s">
        <v>2</v>
      </c>
      <c r="B7" s="13" t="s">
        <v>46</v>
      </c>
      <c r="C7" s="16" t="s">
        <v>47</v>
      </c>
    </row>
    <row r="8" spans="1:3" ht="15.75" thickBot="1" x14ac:dyDescent="0.3">
      <c r="A8" s="3" t="s">
        <v>3</v>
      </c>
      <c r="B8" s="13" t="s">
        <v>48</v>
      </c>
      <c r="C8" s="16" t="s">
        <v>49</v>
      </c>
    </row>
    <row r="9" spans="1:3" ht="15.75" thickBot="1" x14ac:dyDescent="0.3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2015-11-18T19:12:49Z</dcterms:modified>
</cp:coreProperties>
</file>
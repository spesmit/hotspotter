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240" yWindow="105" windowWidth="14805" windowHeight="8010" tabRatio="695" activeTab="4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B9" i="43" l="1"/>
  <c r="X14" i="1" l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 s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7" i="1" s="1"/>
  <c r="R16" i="1"/>
  <c r="S16" i="1"/>
  <c r="S13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7" i="1" s="1"/>
  <c r="P16" i="1"/>
  <c r="P17" i="1" s="1"/>
  <c r="Q16" i="1"/>
  <c r="Q13" i="1"/>
  <c r="P13" i="1"/>
  <c r="P8" i="1"/>
  <c r="Q8" i="1"/>
  <c r="P9" i="1"/>
  <c r="Q9" i="1"/>
  <c r="Q11" i="1" s="1"/>
  <c r="P10" i="1"/>
  <c r="Q10" i="1"/>
  <c r="Q7" i="1"/>
  <c r="P7" i="1"/>
  <c r="N14" i="1"/>
  <c r="O14" i="1"/>
  <c r="N15" i="1"/>
  <c r="O15" i="1"/>
  <c r="N16" i="1"/>
  <c r="N17" i="1" s="1"/>
  <c r="O16" i="1"/>
  <c r="O17" i="1" s="1"/>
  <c r="O13" i="1"/>
  <c r="N13" i="1"/>
  <c r="N8" i="1"/>
  <c r="O8" i="1"/>
  <c r="N9" i="1"/>
  <c r="N11" i="1" s="1"/>
  <c r="O9" i="1"/>
  <c r="N10" i="1"/>
  <c r="O10" i="1"/>
  <c r="O7" i="1"/>
  <c r="N7" i="1"/>
  <c r="L14" i="1"/>
  <c r="M14" i="1"/>
  <c r="L15" i="1"/>
  <c r="M15" i="1"/>
  <c r="L16" i="1"/>
  <c r="M16" i="1"/>
  <c r="M17" i="1" s="1"/>
  <c r="M13" i="1"/>
  <c r="L13" i="1"/>
  <c r="L8" i="1"/>
  <c r="M8" i="1"/>
  <c r="L9" i="1"/>
  <c r="M9" i="1"/>
  <c r="M11" i="1" s="1"/>
  <c r="L10" i="1"/>
  <c r="M10" i="1"/>
  <c r="M7" i="1"/>
  <c r="L7" i="1"/>
  <c r="J14" i="1"/>
  <c r="K14" i="1"/>
  <c r="J15" i="1"/>
  <c r="K15" i="1"/>
  <c r="J16" i="1"/>
  <c r="K16" i="1"/>
  <c r="K13" i="1"/>
  <c r="K17" i="1" s="1"/>
  <c r="J13" i="1"/>
  <c r="J17" i="1" s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7" i="1" s="1"/>
  <c r="I16" i="1"/>
  <c r="I13" i="1"/>
  <c r="H13" i="1"/>
  <c r="H8" i="1"/>
  <c r="I8" i="1"/>
  <c r="H9" i="1"/>
  <c r="I9" i="1"/>
  <c r="I11" i="1" s="1"/>
  <c r="H10" i="1"/>
  <c r="H11" i="1" s="1"/>
  <c r="I10" i="1"/>
  <c r="I7" i="1"/>
  <c r="H7" i="1"/>
  <c r="F14" i="1"/>
  <c r="G14" i="1"/>
  <c r="F15" i="1"/>
  <c r="G15" i="1"/>
  <c r="G17" i="1" s="1"/>
  <c r="F16" i="1"/>
  <c r="G16" i="1"/>
  <c r="F13" i="1"/>
  <c r="F17" i="1" s="1"/>
  <c r="G13" i="1"/>
  <c r="G8" i="1"/>
  <c r="G9" i="1"/>
  <c r="G10" i="1"/>
  <c r="G7" i="1"/>
  <c r="F7" i="1"/>
  <c r="C14" i="1"/>
  <c r="D14" i="1"/>
  <c r="E14" i="1"/>
  <c r="C15" i="1"/>
  <c r="D15" i="1"/>
  <c r="E15" i="1"/>
  <c r="E17" i="1" s="1"/>
  <c r="C16" i="1"/>
  <c r="C17" i="1" s="1"/>
  <c r="D16" i="1"/>
  <c r="E16" i="1"/>
  <c r="E13" i="1"/>
  <c r="D13" i="1"/>
  <c r="C13" i="1"/>
  <c r="E8" i="1"/>
  <c r="E9" i="1"/>
  <c r="E10" i="1"/>
  <c r="E7" i="1"/>
  <c r="D8" i="1"/>
  <c r="D9" i="1"/>
  <c r="D10" i="1"/>
  <c r="D7" i="1"/>
  <c r="C8" i="1"/>
  <c r="C20" i="1" s="1"/>
  <c r="D20" i="1" s="1"/>
  <c r="E20" i="1" s="1"/>
  <c r="C9" i="1"/>
  <c r="C21" i="1" s="1"/>
  <c r="C10" i="1"/>
  <c r="C22" i="1" s="1"/>
  <c r="C7" i="1"/>
  <c r="C19" i="1" s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O24" i="2" s="1"/>
  <c r="P24" i="2" s="1"/>
  <c r="Q24" i="2" s="1"/>
  <c r="R24" i="2" s="1"/>
  <c r="S24" i="2" s="1"/>
  <c r="T24" i="2" s="1"/>
  <c r="U24" i="2" s="1"/>
  <c r="V24" i="2" s="1"/>
  <c r="W24" i="2" s="1"/>
  <c r="C27" i="2"/>
  <c r="D27" i="2" s="1"/>
  <c r="E27" i="2" s="1"/>
  <c r="F27" i="2" s="1"/>
  <c r="G27" i="2" s="1"/>
  <c r="H27" i="2" s="1"/>
  <c r="I27" i="2" s="1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B27" i="2"/>
  <c r="C26" i="2"/>
  <c r="D26" i="2" s="1"/>
  <c r="E26" i="2" s="1"/>
  <c r="F26" i="2" s="1"/>
  <c r="G26" i="2" s="1"/>
  <c r="H26" i="2" s="1"/>
  <c r="B26" i="2"/>
  <c r="C25" i="2"/>
  <c r="D25" i="2" s="1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O25" i="2" s="1"/>
  <c r="P25" i="2" s="1"/>
  <c r="Q25" i="2" s="1"/>
  <c r="R25" i="2" s="1"/>
  <c r="S25" i="2" s="1"/>
  <c r="T25" i="2" s="1"/>
  <c r="U25" i="2" s="1"/>
  <c r="V25" i="2" s="1"/>
  <c r="W25" i="2" s="1"/>
  <c r="B25" i="2"/>
  <c r="C24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D43" i="50"/>
  <c r="C43" i="50"/>
  <c r="B43" i="50"/>
  <c r="D41" i="50"/>
  <c r="D40" i="50"/>
  <c r="C40" i="50"/>
  <c r="D46" i="50" s="1"/>
  <c r="B40" i="50"/>
  <c r="D39" i="50"/>
  <c r="C39" i="50"/>
  <c r="D45" i="50" s="1"/>
  <c r="B39" i="50"/>
  <c r="D38" i="50"/>
  <c r="C38" i="50"/>
  <c r="D44" i="50" s="1"/>
  <c r="B38" i="50"/>
  <c r="D37" i="50"/>
  <c r="C37" i="50"/>
  <c r="C41" i="50" s="1"/>
  <c r="E41" i="50" s="1"/>
  <c r="B37" i="50"/>
  <c r="C33" i="50"/>
  <c r="B33" i="50"/>
  <c r="B32" i="50"/>
  <c r="B31" i="50"/>
  <c r="B30" i="50"/>
  <c r="C27" i="50"/>
  <c r="D27" i="50" s="1"/>
  <c r="E27" i="50" s="1"/>
  <c r="F27" i="50" s="1"/>
  <c r="G27" i="50" s="1"/>
  <c r="H27" i="50" s="1"/>
  <c r="I27" i="50" s="1"/>
  <c r="J27" i="50" s="1"/>
  <c r="K27" i="50" s="1"/>
  <c r="L27" i="50" s="1"/>
  <c r="M27" i="50" s="1"/>
  <c r="N27" i="50" s="1"/>
  <c r="O27" i="50" s="1"/>
  <c r="P27" i="50" s="1"/>
  <c r="B27" i="50"/>
  <c r="D26" i="50"/>
  <c r="E26" i="50" s="1"/>
  <c r="F26" i="50" s="1"/>
  <c r="G26" i="50" s="1"/>
  <c r="H26" i="50" s="1"/>
  <c r="I26" i="50" s="1"/>
  <c r="J26" i="50" s="1"/>
  <c r="K26" i="50" s="1"/>
  <c r="L26" i="50" s="1"/>
  <c r="M26" i="50" s="1"/>
  <c r="N26" i="50" s="1"/>
  <c r="O26" i="50" s="1"/>
  <c r="P26" i="50" s="1"/>
  <c r="C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5" i="50"/>
  <c r="D15" i="50" s="1"/>
  <c r="B15" i="50"/>
  <c r="C14" i="50"/>
  <c r="D14" i="50" s="1"/>
  <c r="B14" i="50"/>
  <c r="D13" i="50"/>
  <c r="C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 s="1"/>
  <c r="F4" i="50" s="1"/>
  <c r="G4" i="50" s="1"/>
  <c r="H4" i="50" s="1"/>
  <c r="I4" i="50" s="1"/>
  <c r="J4" i="50" s="1"/>
  <c r="K4" i="50" s="1"/>
  <c r="L4" i="50" s="1"/>
  <c r="M4" i="50" s="1"/>
  <c r="N4" i="50" s="1"/>
  <c r="O4" i="50" s="1"/>
  <c r="P4" i="50" s="1"/>
  <c r="C4" i="50"/>
  <c r="B46" i="49"/>
  <c r="B45" i="49"/>
  <c r="C44" i="49"/>
  <c r="B44" i="49"/>
  <c r="B43" i="49"/>
  <c r="D41" i="49"/>
  <c r="D40" i="49"/>
  <c r="D46" i="49" s="1"/>
  <c r="C40" i="49"/>
  <c r="C46" i="49" s="1"/>
  <c r="B40" i="49"/>
  <c r="D39" i="49"/>
  <c r="C39" i="49"/>
  <c r="D45" i="49" s="1"/>
  <c r="B39" i="49"/>
  <c r="D38" i="49"/>
  <c r="E38" i="49" s="1"/>
  <c r="C38" i="49"/>
  <c r="D44" i="49" s="1"/>
  <c r="B38" i="49"/>
  <c r="D37" i="49"/>
  <c r="C37" i="49"/>
  <c r="C41" i="49" s="1"/>
  <c r="E41" i="49" s="1"/>
  <c r="B37" i="49"/>
  <c r="B33" i="49"/>
  <c r="B32" i="49"/>
  <c r="B31" i="49"/>
  <c r="B30" i="49"/>
  <c r="C27" i="49"/>
  <c r="D27" i="49" s="1"/>
  <c r="E27" i="49" s="1"/>
  <c r="F27" i="49" s="1"/>
  <c r="G27" i="49" s="1"/>
  <c r="H27" i="49" s="1"/>
  <c r="I27" i="49" s="1"/>
  <c r="J27" i="49" s="1"/>
  <c r="K27" i="49" s="1"/>
  <c r="L27" i="49" s="1"/>
  <c r="M27" i="49" s="1"/>
  <c r="N27" i="49" s="1"/>
  <c r="O27" i="49" s="1"/>
  <c r="P27" i="49" s="1"/>
  <c r="B27" i="49"/>
  <c r="C26" i="49"/>
  <c r="D26" i="49" s="1"/>
  <c r="E26" i="49" s="1"/>
  <c r="F26" i="49" s="1"/>
  <c r="G26" i="49" s="1"/>
  <c r="H26" i="49" s="1"/>
  <c r="I26" i="49" s="1"/>
  <c r="J26" i="49" s="1"/>
  <c r="K26" i="49" s="1"/>
  <c r="L26" i="49" s="1"/>
  <c r="M26" i="49" s="1"/>
  <c r="N26" i="49" s="1"/>
  <c r="O26" i="49" s="1"/>
  <c r="P26" i="49" s="1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 s="1"/>
  <c r="B15" i="49"/>
  <c r="E14" i="49"/>
  <c r="C14" i="49"/>
  <c r="D14" i="49" s="1"/>
  <c r="D32" i="49" s="1"/>
  <c r="B14" i="49"/>
  <c r="D13" i="49"/>
  <c r="C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 s="1"/>
  <c r="F4" i="49" s="1"/>
  <c r="G4" i="49" s="1"/>
  <c r="H4" i="49" s="1"/>
  <c r="I4" i="49" s="1"/>
  <c r="J4" i="49" s="1"/>
  <c r="K4" i="49" s="1"/>
  <c r="L4" i="49" s="1"/>
  <c r="M4" i="49" s="1"/>
  <c r="N4" i="49" s="1"/>
  <c r="O4" i="49" s="1"/>
  <c r="P4" i="49" s="1"/>
  <c r="C4" i="49"/>
  <c r="B46" i="48"/>
  <c r="B45" i="48"/>
  <c r="B44" i="48"/>
  <c r="B43" i="48"/>
  <c r="D41" i="48"/>
  <c r="D40" i="48"/>
  <c r="C40" i="48"/>
  <c r="C46" i="48" s="1"/>
  <c r="B40" i="48"/>
  <c r="D39" i="48"/>
  <c r="C39" i="48"/>
  <c r="B39" i="48"/>
  <c r="D38" i="48"/>
  <c r="C38" i="48"/>
  <c r="D44" i="48" s="1"/>
  <c r="B38" i="48"/>
  <c r="D37" i="48"/>
  <c r="C37" i="48"/>
  <c r="B37" i="48"/>
  <c r="B33" i="48"/>
  <c r="B32" i="48"/>
  <c r="B31" i="48"/>
  <c r="B30" i="48"/>
  <c r="C27" i="48"/>
  <c r="D27" i="48" s="1"/>
  <c r="E27" i="48" s="1"/>
  <c r="F27" i="48" s="1"/>
  <c r="G27" i="48" s="1"/>
  <c r="H27" i="48" s="1"/>
  <c r="I27" i="48" s="1"/>
  <c r="J27" i="48" s="1"/>
  <c r="K27" i="48" s="1"/>
  <c r="L27" i="48" s="1"/>
  <c r="M27" i="48" s="1"/>
  <c r="N27" i="48" s="1"/>
  <c r="O27" i="48" s="1"/>
  <c r="P27" i="48" s="1"/>
  <c r="B27" i="48"/>
  <c r="C26" i="48"/>
  <c r="D26" i="48" s="1"/>
  <c r="E26" i="48" s="1"/>
  <c r="F26" i="48" s="1"/>
  <c r="G26" i="48" s="1"/>
  <c r="H26" i="48" s="1"/>
  <c r="I26" i="48" s="1"/>
  <c r="J26" i="48" s="1"/>
  <c r="K26" i="48" s="1"/>
  <c r="L26" i="48" s="1"/>
  <c r="M26" i="48" s="1"/>
  <c r="N26" i="48" s="1"/>
  <c r="O26" i="48" s="1"/>
  <c r="P26" i="48" s="1"/>
  <c r="B26" i="48"/>
  <c r="H25" i="48"/>
  <c r="I25" i="48" s="1"/>
  <c r="J25" i="48" s="1"/>
  <c r="K25" i="48" s="1"/>
  <c r="L25" i="48" s="1"/>
  <c r="M25" i="48" s="1"/>
  <c r="N25" i="48" s="1"/>
  <c r="O25" i="48" s="1"/>
  <c r="P25" i="48" s="1"/>
  <c r="C25" i="48"/>
  <c r="D25" i="48" s="1"/>
  <c r="E25" i="48" s="1"/>
  <c r="F25" i="48" s="1"/>
  <c r="G25" i="48" s="1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 s="1"/>
  <c r="B15" i="48"/>
  <c r="E14" i="48"/>
  <c r="E32" i="48" s="1"/>
  <c r="C14" i="48"/>
  <c r="D14" i="48" s="1"/>
  <c r="B14" i="48"/>
  <c r="C13" i="48"/>
  <c r="D13" i="48" s="1"/>
  <c r="D31" i="48" s="1"/>
  <c r="B13" i="48"/>
  <c r="C12" i="48"/>
  <c r="D12" i="48" s="1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 s="1"/>
  <c r="E4" i="48" s="1"/>
  <c r="F4" i="48" s="1"/>
  <c r="G4" i="48" s="1"/>
  <c r="H4" i="48" s="1"/>
  <c r="I4" i="48" s="1"/>
  <c r="J4" i="48" s="1"/>
  <c r="K4" i="48" s="1"/>
  <c r="L4" i="48" s="1"/>
  <c r="M4" i="48" s="1"/>
  <c r="N4" i="48" s="1"/>
  <c r="O4" i="48" s="1"/>
  <c r="P4" i="48" s="1"/>
  <c r="B46" i="47"/>
  <c r="C45" i="47"/>
  <c r="B45" i="47"/>
  <c r="B44" i="47"/>
  <c r="C43" i="47"/>
  <c r="B43" i="47"/>
  <c r="D40" i="47"/>
  <c r="C40" i="47"/>
  <c r="E40" i="47" s="1"/>
  <c r="B40" i="47"/>
  <c r="D39" i="47"/>
  <c r="E39" i="47" s="1"/>
  <c r="C39" i="47"/>
  <c r="B39" i="47"/>
  <c r="D38" i="47"/>
  <c r="C38" i="47"/>
  <c r="D44" i="47" s="1"/>
  <c r="B38" i="47"/>
  <c r="D37" i="47"/>
  <c r="E37" i="47" s="1"/>
  <c r="C37" i="47"/>
  <c r="C41" i="47" s="1"/>
  <c r="B37" i="47"/>
  <c r="B33" i="47"/>
  <c r="B32" i="47"/>
  <c r="B31" i="47"/>
  <c r="B30" i="47"/>
  <c r="C27" i="47"/>
  <c r="C33" i="47" s="1"/>
  <c r="B27" i="47"/>
  <c r="C26" i="47"/>
  <c r="D26" i="47" s="1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5" i="47"/>
  <c r="D15" i="47" s="1"/>
  <c r="B15" i="47"/>
  <c r="C14" i="47"/>
  <c r="D14" i="47" s="1"/>
  <c r="E14" i="47" s="1"/>
  <c r="F14" i="47" s="1"/>
  <c r="B14" i="47"/>
  <c r="C13" i="47"/>
  <c r="D13" i="47" s="1"/>
  <c r="E13" i="47" s="1"/>
  <c r="B13" i="47"/>
  <c r="C12" i="47"/>
  <c r="C30" i="47" s="1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 s="1"/>
  <c r="E4" i="47" s="1"/>
  <c r="F4" i="47" s="1"/>
  <c r="G4" i="47" s="1"/>
  <c r="H4" i="47" s="1"/>
  <c r="I4" i="47" s="1"/>
  <c r="J4" i="47" s="1"/>
  <c r="K4" i="47" s="1"/>
  <c r="L4" i="47" s="1"/>
  <c r="M4" i="47" s="1"/>
  <c r="N4" i="47" s="1"/>
  <c r="O4" i="47" s="1"/>
  <c r="P4" i="47" s="1"/>
  <c r="B46" i="46"/>
  <c r="B45" i="46"/>
  <c r="B44" i="46"/>
  <c r="C43" i="46"/>
  <c r="B43" i="46"/>
  <c r="D41" i="46"/>
  <c r="D40" i="46"/>
  <c r="C40" i="46"/>
  <c r="E40" i="46" s="1"/>
  <c r="B40" i="46"/>
  <c r="D39" i="46"/>
  <c r="C39" i="46"/>
  <c r="D45" i="46" s="1"/>
  <c r="B39" i="46"/>
  <c r="D38" i="46"/>
  <c r="C38" i="46"/>
  <c r="D44" i="46" s="1"/>
  <c r="B38" i="46"/>
  <c r="D37" i="46"/>
  <c r="C37" i="46"/>
  <c r="C41" i="46" s="1"/>
  <c r="E41" i="46" s="1"/>
  <c r="B37" i="46"/>
  <c r="B33" i="46"/>
  <c r="B32" i="46"/>
  <c r="B31" i="46"/>
  <c r="B30" i="46"/>
  <c r="C27" i="46"/>
  <c r="D27" i="46" s="1"/>
  <c r="E27" i="46" s="1"/>
  <c r="F27" i="46" s="1"/>
  <c r="G27" i="46" s="1"/>
  <c r="H27" i="46" s="1"/>
  <c r="I27" i="46" s="1"/>
  <c r="J27" i="46" s="1"/>
  <c r="K27" i="46" s="1"/>
  <c r="L27" i="46" s="1"/>
  <c r="M27" i="46" s="1"/>
  <c r="N27" i="46" s="1"/>
  <c r="O27" i="46" s="1"/>
  <c r="P27" i="46" s="1"/>
  <c r="B27" i="46"/>
  <c r="C26" i="46"/>
  <c r="D26" i="46" s="1"/>
  <c r="D32" i="46" s="1"/>
  <c r="B26" i="46"/>
  <c r="C25" i="46"/>
  <c r="D25" i="46" s="1"/>
  <c r="E25" i="46" s="1"/>
  <c r="F25" i="46" s="1"/>
  <c r="G25" i="46" s="1"/>
  <c r="H25" i="46" s="1"/>
  <c r="I25" i="46" s="1"/>
  <c r="J25" i="46" s="1"/>
  <c r="K25" i="46" s="1"/>
  <c r="L25" i="46" s="1"/>
  <c r="M25" i="46" s="1"/>
  <c r="N25" i="46" s="1"/>
  <c r="O25" i="46" s="1"/>
  <c r="P25" i="46" s="1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 s="1"/>
  <c r="B15" i="46"/>
  <c r="C14" i="46"/>
  <c r="D14" i="46" s="1"/>
  <c r="E14" i="46" s="1"/>
  <c r="B14" i="46"/>
  <c r="C13" i="46"/>
  <c r="D13" i="46" s="1"/>
  <c r="D31" i="46" s="1"/>
  <c r="B13" i="46"/>
  <c r="C12" i="46"/>
  <c r="C30" i="46" s="1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 s="1"/>
  <c r="F4" i="46" s="1"/>
  <c r="G4" i="46" s="1"/>
  <c r="H4" i="46" s="1"/>
  <c r="I4" i="46" s="1"/>
  <c r="J4" i="46" s="1"/>
  <c r="K4" i="46" s="1"/>
  <c r="L4" i="46" s="1"/>
  <c r="M4" i="46" s="1"/>
  <c r="N4" i="46" s="1"/>
  <c r="O4" i="46" s="1"/>
  <c r="P4" i="46" s="1"/>
  <c r="C4" i="46"/>
  <c r="B46" i="45"/>
  <c r="B45" i="45"/>
  <c r="B44" i="45"/>
  <c r="C43" i="45"/>
  <c r="B43" i="45"/>
  <c r="D41" i="45"/>
  <c r="D40" i="45"/>
  <c r="C40" i="45"/>
  <c r="D46" i="45" s="1"/>
  <c r="B40" i="45"/>
  <c r="D39" i="45"/>
  <c r="C39" i="45"/>
  <c r="D45" i="45" s="1"/>
  <c r="B39" i="45"/>
  <c r="D38" i="45"/>
  <c r="C38" i="45"/>
  <c r="D44" i="45" s="1"/>
  <c r="B38" i="45"/>
  <c r="D37" i="45"/>
  <c r="C37" i="45"/>
  <c r="C41" i="45" s="1"/>
  <c r="E41" i="45" s="1"/>
  <c r="B37" i="45"/>
  <c r="C33" i="45"/>
  <c r="B33" i="45"/>
  <c r="B32" i="45"/>
  <c r="B31" i="45"/>
  <c r="B30" i="45"/>
  <c r="C27" i="45"/>
  <c r="D27" i="45" s="1"/>
  <c r="E27" i="45" s="1"/>
  <c r="F27" i="45" s="1"/>
  <c r="G27" i="45" s="1"/>
  <c r="H27" i="45" s="1"/>
  <c r="I27" i="45" s="1"/>
  <c r="J27" i="45" s="1"/>
  <c r="K27" i="45" s="1"/>
  <c r="L27" i="45" s="1"/>
  <c r="M27" i="45" s="1"/>
  <c r="N27" i="45" s="1"/>
  <c r="O27" i="45" s="1"/>
  <c r="P27" i="45" s="1"/>
  <c r="B27" i="45"/>
  <c r="D26" i="45"/>
  <c r="E26" i="45" s="1"/>
  <c r="F26" i="45" s="1"/>
  <c r="G26" i="45" s="1"/>
  <c r="H26" i="45" s="1"/>
  <c r="I26" i="45" s="1"/>
  <c r="J26" i="45" s="1"/>
  <c r="K26" i="45" s="1"/>
  <c r="L26" i="45" s="1"/>
  <c r="M26" i="45" s="1"/>
  <c r="N26" i="45" s="1"/>
  <c r="O26" i="45" s="1"/>
  <c r="P26" i="45" s="1"/>
  <c r="C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5" i="45"/>
  <c r="D15" i="45" s="1"/>
  <c r="B15" i="45"/>
  <c r="C14" i="45"/>
  <c r="D14" i="45" s="1"/>
  <c r="B14" i="45"/>
  <c r="C13" i="45"/>
  <c r="D13" i="45" s="1"/>
  <c r="B13" i="45"/>
  <c r="C12" i="45"/>
  <c r="C30" i="45" s="1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 s="1"/>
  <c r="E4" i="45" s="1"/>
  <c r="F4" i="45" s="1"/>
  <c r="G4" i="45" s="1"/>
  <c r="H4" i="45" s="1"/>
  <c r="I4" i="45" s="1"/>
  <c r="J4" i="45" s="1"/>
  <c r="K4" i="45" s="1"/>
  <c r="L4" i="45" s="1"/>
  <c r="M4" i="45" s="1"/>
  <c r="N4" i="45" s="1"/>
  <c r="O4" i="45" s="1"/>
  <c r="P4" i="45" s="1"/>
  <c r="B46" i="44"/>
  <c r="B45" i="44"/>
  <c r="B44" i="44"/>
  <c r="B43" i="44"/>
  <c r="D41" i="44"/>
  <c r="D40" i="44"/>
  <c r="D46" i="44" s="1"/>
  <c r="C40" i="44"/>
  <c r="E40" i="44" s="1"/>
  <c r="B40" i="44"/>
  <c r="D39" i="44"/>
  <c r="C39" i="44"/>
  <c r="D45" i="44" s="1"/>
  <c r="B39" i="44"/>
  <c r="D38" i="44"/>
  <c r="C38" i="44"/>
  <c r="D44" i="44" s="1"/>
  <c r="B38" i="44"/>
  <c r="D37" i="44"/>
  <c r="C37" i="44"/>
  <c r="C41" i="44" s="1"/>
  <c r="E41" i="44" s="1"/>
  <c r="B37" i="44"/>
  <c r="B33" i="44"/>
  <c r="B32" i="44"/>
  <c r="B31" i="44"/>
  <c r="B30" i="44"/>
  <c r="C27" i="44"/>
  <c r="D27" i="44" s="1"/>
  <c r="E27" i="44" s="1"/>
  <c r="F27" i="44" s="1"/>
  <c r="G27" i="44" s="1"/>
  <c r="H27" i="44" s="1"/>
  <c r="I27" i="44" s="1"/>
  <c r="J27" i="44" s="1"/>
  <c r="K27" i="44" s="1"/>
  <c r="L27" i="44" s="1"/>
  <c r="M27" i="44" s="1"/>
  <c r="N27" i="44" s="1"/>
  <c r="O27" i="44" s="1"/>
  <c r="P27" i="44" s="1"/>
  <c r="B27" i="44"/>
  <c r="C26" i="44"/>
  <c r="D26" i="44" s="1"/>
  <c r="B26" i="44"/>
  <c r="C25" i="44"/>
  <c r="B25" i="44"/>
  <c r="D24" i="44"/>
  <c r="E24" i="44" s="1"/>
  <c r="C24" i="44"/>
  <c r="C28" i="44" s="1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 s="1"/>
  <c r="B15" i="44"/>
  <c r="D14" i="44"/>
  <c r="E14" i="44" s="1"/>
  <c r="C14" i="44"/>
  <c r="C32" i="44" s="1"/>
  <c r="B14" i="44"/>
  <c r="C13" i="44"/>
  <c r="D13" i="44" s="1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C4" i="44"/>
  <c r="B46" i="43"/>
  <c r="B45" i="43"/>
  <c r="B44" i="43"/>
  <c r="B43" i="43"/>
  <c r="D40" i="43"/>
  <c r="C40" i="43"/>
  <c r="B40" i="43"/>
  <c r="D39" i="43"/>
  <c r="C39" i="43"/>
  <c r="D45" i="43" s="1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 s="1"/>
  <c r="E27" i="43" s="1"/>
  <c r="F27" i="43" s="1"/>
  <c r="G27" i="43" s="1"/>
  <c r="H27" i="43" s="1"/>
  <c r="I27" i="43" s="1"/>
  <c r="J27" i="43" s="1"/>
  <c r="K27" i="43" s="1"/>
  <c r="L27" i="43" s="1"/>
  <c r="M27" i="43" s="1"/>
  <c r="N27" i="43" s="1"/>
  <c r="O27" i="43" s="1"/>
  <c r="P27" i="43" s="1"/>
  <c r="B27" i="43"/>
  <c r="C26" i="43"/>
  <c r="D26" i="43" s="1"/>
  <c r="E26" i="43" s="1"/>
  <c r="F26" i="43" s="1"/>
  <c r="G26" i="43" s="1"/>
  <c r="H26" i="43" s="1"/>
  <c r="I26" i="43" s="1"/>
  <c r="J26" i="43" s="1"/>
  <c r="K26" i="43" s="1"/>
  <c r="L26" i="43" s="1"/>
  <c r="M26" i="43" s="1"/>
  <c r="N26" i="43" s="1"/>
  <c r="O26" i="43" s="1"/>
  <c r="P26" i="43" s="1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 s="1"/>
  <c r="B15" i="43"/>
  <c r="C14" i="43"/>
  <c r="D14" i="43" s="1"/>
  <c r="B14" i="43"/>
  <c r="C13" i="43"/>
  <c r="D13" i="43" s="1"/>
  <c r="B13" i="43"/>
  <c r="C12" i="43"/>
  <c r="C30" i="43" s="1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C4" i="43"/>
  <c r="D4" i="43" s="1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B46" i="42"/>
  <c r="B45" i="42"/>
  <c r="B44" i="42"/>
  <c r="C43" i="42"/>
  <c r="B43" i="42"/>
  <c r="D41" i="42"/>
  <c r="D40" i="42"/>
  <c r="C40" i="42"/>
  <c r="E40" i="42" s="1"/>
  <c r="B40" i="42"/>
  <c r="D39" i="42"/>
  <c r="C39" i="42"/>
  <c r="D45" i="42" s="1"/>
  <c r="B39" i="42"/>
  <c r="D38" i="42"/>
  <c r="C38" i="42"/>
  <c r="D44" i="42" s="1"/>
  <c r="B38" i="42"/>
  <c r="D37" i="42"/>
  <c r="C37" i="42"/>
  <c r="C41" i="42" s="1"/>
  <c r="E41" i="42" s="1"/>
  <c r="B37" i="42"/>
  <c r="B33" i="42"/>
  <c r="B32" i="42"/>
  <c r="B31" i="42"/>
  <c r="B30" i="42"/>
  <c r="C27" i="42"/>
  <c r="D27" i="42" s="1"/>
  <c r="E27" i="42" s="1"/>
  <c r="F27" i="42" s="1"/>
  <c r="G27" i="42" s="1"/>
  <c r="H27" i="42" s="1"/>
  <c r="I27" i="42" s="1"/>
  <c r="J27" i="42" s="1"/>
  <c r="K27" i="42" s="1"/>
  <c r="L27" i="42" s="1"/>
  <c r="M27" i="42" s="1"/>
  <c r="N27" i="42" s="1"/>
  <c r="O27" i="42" s="1"/>
  <c r="P27" i="42" s="1"/>
  <c r="B27" i="42"/>
  <c r="C26" i="42"/>
  <c r="D26" i="42" s="1"/>
  <c r="B26" i="42"/>
  <c r="C25" i="42"/>
  <c r="D25" i="42" s="1"/>
  <c r="E25" i="42" s="1"/>
  <c r="F25" i="42" s="1"/>
  <c r="G25" i="42" s="1"/>
  <c r="H25" i="42" s="1"/>
  <c r="I25" i="42" s="1"/>
  <c r="J25" i="42" s="1"/>
  <c r="K25" i="42" s="1"/>
  <c r="L25" i="42" s="1"/>
  <c r="M25" i="42" s="1"/>
  <c r="N25" i="42" s="1"/>
  <c r="O25" i="42" s="1"/>
  <c r="P25" i="42" s="1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 s="1"/>
  <c r="B15" i="42"/>
  <c r="C14" i="42"/>
  <c r="C32" i="42" s="1"/>
  <c r="B14" i="42"/>
  <c r="C13" i="42"/>
  <c r="D13" i="42" s="1"/>
  <c r="B13" i="42"/>
  <c r="C12" i="42"/>
  <c r="C30" i="42" s="1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C4" i="42"/>
  <c r="C38" i="15"/>
  <c r="D44" i="15" s="1"/>
  <c r="D38" i="15"/>
  <c r="C39" i="15"/>
  <c r="D45" i="15" s="1"/>
  <c r="D39" i="15"/>
  <c r="C40" i="15"/>
  <c r="C46" i="15" s="1"/>
  <c r="D40" i="15"/>
  <c r="D46" i="15" s="1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B2" i="42"/>
  <c r="B2" i="43"/>
  <c r="D41" i="43" l="1"/>
  <c r="D46" i="43"/>
  <c r="C41" i="43"/>
  <c r="E41" i="43" s="1"/>
  <c r="J11" i="1"/>
  <c r="K11" i="1"/>
  <c r="D44" i="43"/>
  <c r="C32" i="43"/>
  <c r="C43" i="43"/>
  <c r="C33" i="43"/>
  <c r="C16" i="44"/>
  <c r="C31" i="44"/>
  <c r="C16" i="45"/>
  <c r="C16" i="47"/>
  <c r="D14" i="42"/>
  <c r="E14" i="42" s="1"/>
  <c r="F14" i="42" s="1"/>
  <c r="C32" i="46"/>
  <c r="C28" i="49"/>
  <c r="C28" i="42"/>
  <c r="C28" i="43"/>
  <c r="C16" i="46"/>
  <c r="C28" i="48"/>
  <c r="D24" i="49"/>
  <c r="E24" i="49" s="1"/>
  <c r="C28" i="45"/>
  <c r="C33" i="46"/>
  <c r="D12" i="47"/>
  <c r="D16" i="47" s="1"/>
  <c r="C28" i="47"/>
  <c r="C32" i="50"/>
  <c r="D19" i="1"/>
  <c r="E19" i="1" s="1"/>
  <c r="F19" i="1" s="1"/>
  <c r="G19" i="1" s="1"/>
  <c r="H19" i="1" s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 s="1"/>
  <c r="E22" i="1" s="1"/>
  <c r="D21" i="1"/>
  <c r="E21" i="1" s="1"/>
  <c r="V17" i="1"/>
  <c r="R17" i="1"/>
  <c r="I19" i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 s="1"/>
  <c r="D25" i="50"/>
  <c r="E25" i="50" s="1"/>
  <c r="F25" i="50" s="1"/>
  <c r="G25" i="50" s="1"/>
  <c r="H25" i="50" s="1"/>
  <c r="I25" i="50" s="1"/>
  <c r="J25" i="50" s="1"/>
  <c r="K25" i="50" s="1"/>
  <c r="L25" i="50" s="1"/>
  <c r="M25" i="50" s="1"/>
  <c r="N25" i="50" s="1"/>
  <c r="O25" i="50" s="1"/>
  <c r="P25" i="50" s="1"/>
  <c r="D32" i="50"/>
  <c r="E14" i="50"/>
  <c r="C28" i="50"/>
  <c r="D12" i="50"/>
  <c r="E13" i="50"/>
  <c r="C45" i="50"/>
  <c r="E37" i="50"/>
  <c r="E39" i="50"/>
  <c r="D24" i="50"/>
  <c r="E38" i="50"/>
  <c r="E40" i="50"/>
  <c r="C44" i="50"/>
  <c r="C47" i="50" s="1"/>
  <c r="C46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7" i="49" s="1"/>
  <c r="D25" i="49"/>
  <c r="C32" i="49"/>
  <c r="D43" i="49"/>
  <c r="D47" i="49" s="1"/>
  <c r="E40" i="49"/>
  <c r="C45" i="49"/>
  <c r="E12" i="48"/>
  <c r="D16" i="48"/>
  <c r="C41" i="48"/>
  <c r="E41" i="48" s="1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F32" i="47"/>
  <c r="E15" i="47"/>
  <c r="D33" i="47"/>
  <c r="D32" i="47"/>
  <c r="E26" i="47"/>
  <c r="F26" i="47" s="1"/>
  <c r="G26" i="47" s="1"/>
  <c r="H26" i="47" s="1"/>
  <c r="I26" i="47" s="1"/>
  <c r="J26" i="47" s="1"/>
  <c r="K26" i="47" s="1"/>
  <c r="L26" i="47" s="1"/>
  <c r="M26" i="47" s="1"/>
  <c r="N26" i="47" s="1"/>
  <c r="O26" i="47" s="1"/>
  <c r="P26" i="47" s="1"/>
  <c r="E41" i="47"/>
  <c r="F13" i="47"/>
  <c r="D45" i="47"/>
  <c r="D25" i="47"/>
  <c r="E25" i="47" s="1"/>
  <c r="F25" i="47" s="1"/>
  <c r="G25" i="47" s="1"/>
  <c r="H25" i="47" s="1"/>
  <c r="I25" i="47" s="1"/>
  <c r="J25" i="47" s="1"/>
  <c r="K25" i="47" s="1"/>
  <c r="L25" i="47" s="1"/>
  <c r="M25" i="47" s="1"/>
  <c r="N25" i="47" s="1"/>
  <c r="O25" i="47" s="1"/>
  <c r="P25" i="47" s="1"/>
  <c r="C46" i="47"/>
  <c r="D41" i="47"/>
  <c r="C32" i="47"/>
  <c r="C34" i="47" s="1"/>
  <c r="D43" i="47"/>
  <c r="D46" i="47"/>
  <c r="E38" i="47"/>
  <c r="C44" i="47"/>
  <c r="C47" i="47" s="1"/>
  <c r="E12" i="47"/>
  <c r="G14" i="47"/>
  <c r="D27" i="47"/>
  <c r="E27" i="47" s="1"/>
  <c r="F27" i="47" s="1"/>
  <c r="G27" i="47" s="1"/>
  <c r="H27" i="47" s="1"/>
  <c r="I27" i="47" s="1"/>
  <c r="J27" i="47" s="1"/>
  <c r="K27" i="47" s="1"/>
  <c r="L27" i="47" s="1"/>
  <c r="M27" i="47" s="1"/>
  <c r="N27" i="47" s="1"/>
  <c r="O27" i="47" s="1"/>
  <c r="P27" i="47" s="1"/>
  <c r="D24" i="47"/>
  <c r="E15" i="46"/>
  <c r="D33" i="46"/>
  <c r="D12" i="46"/>
  <c r="E13" i="46"/>
  <c r="F14" i="46"/>
  <c r="C45" i="46"/>
  <c r="E37" i="46"/>
  <c r="E39" i="46"/>
  <c r="E26" i="46"/>
  <c r="F26" i="46" s="1"/>
  <c r="G26" i="46" s="1"/>
  <c r="H26" i="46" s="1"/>
  <c r="I26" i="46" s="1"/>
  <c r="J26" i="46" s="1"/>
  <c r="K26" i="46" s="1"/>
  <c r="L26" i="46" s="1"/>
  <c r="M26" i="46" s="1"/>
  <c r="N26" i="46" s="1"/>
  <c r="O26" i="46" s="1"/>
  <c r="P26" i="46" s="1"/>
  <c r="C46" i="46"/>
  <c r="C47" i="46" s="1"/>
  <c r="D24" i="46"/>
  <c r="C31" i="46"/>
  <c r="C34" i="46" s="1"/>
  <c r="D46" i="46"/>
  <c r="E38" i="46"/>
  <c r="C44" i="46"/>
  <c r="D43" i="46"/>
  <c r="E15" i="45"/>
  <c r="D33" i="45"/>
  <c r="C47" i="45"/>
  <c r="C34" i="45"/>
  <c r="D32" i="45"/>
  <c r="E14" i="45"/>
  <c r="D12" i="45"/>
  <c r="E13" i="45"/>
  <c r="C45" i="45"/>
  <c r="E37" i="45"/>
  <c r="E39" i="45"/>
  <c r="D43" i="45"/>
  <c r="D47" i="45" s="1"/>
  <c r="D24" i="45"/>
  <c r="E38" i="45"/>
  <c r="E40" i="45"/>
  <c r="C44" i="45"/>
  <c r="D25" i="45"/>
  <c r="E25" i="45" s="1"/>
  <c r="F25" i="45" s="1"/>
  <c r="G25" i="45" s="1"/>
  <c r="H25" i="45" s="1"/>
  <c r="I25" i="45" s="1"/>
  <c r="J25" i="45" s="1"/>
  <c r="K25" i="45" s="1"/>
  <c r="L25" i="45" s="1"/>
  <c r="M25" i="45" s="1"/>
  <c r="N25" i="45" s="1"/>
  <c r="O25" i="45" s="1"/>
  <c r="P25" i="45" s="1"/>
  <c r="C46" i="45"/>
  <c r="D32" i="44"/>
  <c r="E26" i="44"/>
  <c r="F26" i="44" s="1"/>
  <c r="G26" i="44" s="1"/>
  <c r="H26" i="44" s="1"/>
  <c r="I26" i="44" s="1"/>
  <c r="J26" i="44" s="1"/>
  <c r="K26" i="44" s="1"/>
  <c r="L26" i="44" s="1"/>
  <c r="M26" i="44" s="1"/>
  <c r="N26" i="44" s="1"/>
  <c r="O26" i="44" s="1"/>
  <c r="P26" i="44" s="1"/>
  <c r="F24" i="44"/>
  <c r="E15" i="44"/>
  <c r="D33" i="44"/>
  <c r="C45" i="44"/>
  <c r="E39" i="44"/>
  <c r="C33" i="44"/>
  <c r="C43" i="44"/>
  <c r="D25" i="44"/>
  <c r="D31" i="44" s="1"/>
  <c r="D43" i="44"/>
  <c r="D47" i="44" s="1"/>
  <c r="C46" i="44"/>
  <c r="D12" i="44"/>
  <c r="E13" i="44"/>
  <c r="F14" i="44"/>
  <c r="E37" i="44"/>
  <c r="C30" i="44"/>
  <c r="C34" i="44" s="1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 s="1"/>
  <c r="F25" i="43" s="1"/>
  <c r="G25" i="43" s="1"/>
  <c r="H25" i="43" s="1"/>
  <c r="I25" i="43" s="1"/>
  <c r="J25" i="43" s="1"/>
  <c r="K25" i="43" s="1"/>
  <c r="L25" i="43" s="1"/>
  <c r="M25" i="43" s="1"/>
  <c r="N25" i="43" s="1"/>
  <c r="O25" i="43" s="1"/>
  <c r="P25" i="43" s="1"/>
  <c r="D43" i="43"/>
  <c r="D47" i="43" s="1"/>
  <c r="D24" i="43"/>
  <c r="E15" i="42"/>
  <c r="D33" i="42"/>
  <c r="C47" i="42"/>
  <c r="D31" i="42"/>
  <c r="D12" i="42"/>
  <c r="E13" i="42"/>
  <c r="C45" i="42"/>
  <c r="E37" i="42"/>
  <c r="E39" i="42"/>
  <c r="E26" i="42"/>
  <c r="F26" i="42" s="1"/>
  <c r="G26" i="42" s="1"/>
  <c r="H26" i="42" s="1"/>
  <c r="I26" i="42" s="1"/>
  <c r="J26" i="42" s="1"/>
  <c r="K26" i="42" s="1"/>
  <c r="L26" i="42" s="1"/>
  <c r="M26" i="42" s="1"/>
  <c r="N26" i="42" s="1"/>
  <c r="O26" i="42" s="1"/>
  <c r="P26" i="42" s="1"/>
  <c r="C46" i="42"/>
  <c r="D24" i="42"/>
  <c r="C31" i="42"/>
  <c r="C34" i="42" s="1"/>
  <c r="D46" i="42"/>
  <c r="E38" i="42"/>
  <c r="C44" i="42"/>
  <c r="D43" i="42"/>
  <c r="D47" i="42" s="1"/>
  <c r="E40" i="15"/>
  <c r="D41" i="15"/>
  <c r="C44" i="15"/>
  <c r="D43" i="15"/>
  <c r="D47" i="15" s="1"/>
  <c r="C43" i="15"/>
  <c r="C45" i="15"/>
  <c r="C41" i="15"/>
  <c r="E41" i="15" s="1"/>
  <c r="E37" i="15"/>
  <c r="E39" i="15"/>
  <c r="E38" i="15"/>
  <c r="C27" i="15"/>
  <c r="D27" i="15" s="1"/>
  <c r="E27" i="15" s="1"/>
  <c r="F27" i="15" s="1"/>
  <c r="G27" i="15" s="1"/>
  <c r="H27" i="15" s="1"/>
  <c r="I27" i="15" s="1"/>
  <c r="J27" i="15" s="1"/>
  <c r="K27" i="15" s="1"/>
  <c r="L27" i="15" s="1"/>
  <c r="M27" i="15" s="1"/>
  <c r="C26" i="15"/>
  <c r="D26" i="15" s="1"/>
  <c r="C25" i="15"/>
  <c r="D25" i="15" s="1"/>
  <c r="E25" i="15" s="1"/>
  <c r="F25" i="15" s="1"/>
  <c r="G25" i="15" s="1"/>
  <c r="H25" i="15" s="1"/>
  <c r="I25" i="15" s="1"/>
  <c r="J25" i="15" s="1"/>
  <c r="K25" i="15" s="1"/>
  <c r="L25" i="15" s="1"/>
  <c r="M25" i="15" s="1"/>
  <c r="N25" i="15" s="1"/>
  <c r="O25" i="15" s="1"/>
  <c r="P25" i="15" s="1"/>
  <c r="C12" i="15"/>
  <c r="B27" i="15"/>
  <c r="B26" i="15"/>
  <c r="B25" i="15"/>
  <c r="C24" i="15"/>
  <c r="D24" i="15" s="1"/>
  <c r="E24" i="15" s="1"/>
  <c r="F24" i="15" s="1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 s="1"/>
  <c r="C14" i="15"/>
  <c r="C15" i="15"/>
  <c r="B2" i="15"/>
  <c r="C34" i="43" l="1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 s="1"/>
  <c r="D28" i="48"/>
  <c r="E31" i="48"/>
  <c r="F13" i="48"/>
  <c r="F32" i="48"/>
  <c r="G14" i="48"/>
  <c r="F12" i="48"/>
  <c r="E16" i="48"/>
  <c r="C34" i="48"/>
  <c r="E33" i="48"/>
  <c r="F15" i="48"/>
  <c r="D30" i="48"/>
  <c r="D34" i="48" s="1"/>
  <c r="E33" i="47"/>
  <c r="F15" i="47"/>
  <c r="E16" i="47"/>
  <c r="F12" i="47"/>
  <c r="F31" i="47"/>
  <c r="G13" i="47"/>
  <c r="D31" i="47"/>
  <c r="D34" i="47" s="1"/>
  <c r="D47" i="47"/>
  <c r="E24" i="47"/>
  <c r="E30" i="47" s="1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 s="1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 s="1"/>
  <c r="E12" i="44"/>
  <c r="D16" i="44"/>
  <c r="E25" i="44"/>
  <c r="D28" i="44"/>
  <c r="C47" i="44"/>
  <c r="F32" i="44"/>
  <c r="G14" i="44"/>
  <c r="F13" i="44"/>
  <c r="E31" i="43"/>
  <c r="F13" i="43"/>
  <c r="D30" i="43"/>
  <c r="D34" i="43" s="1"/>
  <c r="D16" i="43"/>
  <c r="E12" i="43"/>
  <c r="D31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 s="1"/>
  <c r="P27" i="15" s="1"/>
  <c r="E15" i="15"/>
  <c r="D33" i="15"/>
  <c r="D12" i="15"/>
  <c r="D30" i="15" s="1"/>
  <c r="C30" i="15"/>
  <c r="E26" i="15"/>
  <c r="C47" i="15"/>
  <c r="C28" i="15"/>
  <c r="D28" i="15"/>
  <c r="D14" i="15"/>
  <c r="D32" i="15" s="1"/>
  <c r="D13" i="15"/>
  <c r="D31" i="15" s="1"/>
  <c r="C4" i="15"/>
  <c r="D4" i="15" s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D34" i="42" l="1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 s="1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 s="1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 s="1"/>
  <c r="F12" i="46"/>
  <c r="F24" i="45"/>
  <c r="E28" i="45"/>
  <c r="F32" i="45"/>
  <c r="G14" i="45"/>
  <c r="F31" i="45"/>
  <c r="G13" i="45"/>
  <c r="E16" i="45"/>
  <c r="E30" i="45"/>
  <c r="E34" i="45" s="1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 s="1"/>
  <c r="G13" i="43"/>
  <c r="F31" i="43"/>
  <c r="G13" i="42"/>
  <c r="F31" i="42"/>
  <c r="E16" i="42"/>
  <c r="E30" i="42"/>
  <c r="E34" i="42" s="1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 s="1"/>
  <c r="E28" i="15"/>
  <c r="E13" i="15"/>
  <c r="E31" i="15" s="1"/>
  <c r="E14" i="15"/>
  <c r="E32" i="15" s="1"/>
  <c r="F10" i="1"/>
  <c r="F22" i="1" s="1"/>
  <c r="G22" i="1" s="1"/>
  <c r="H22" i="1" s="1"/>
  <c r="I22" i="1" s="1"/>
  <c r="J22" i="1" s="1"/>
  <c r="K22" i="1" s="1"/>
  <c r="L22" i="1" s="1"/>
  <c r="M22" i="1" s="1"/>
  <c r="N22" i="1" s="1"/>
  <c r="O22" i="1" s="1"/>
  <c r="P22" i="1" s="1"/>
  <c r="Q22" i="1" s="1"/>
  <c r="R22" i="1" s="1"/>
  <c r="S22" i="1" s="1"/>
  <c r="T22" i="1" s="1"/>
  <c r="U22" i="1" s="1"/>
  <c r="V22" i="1" s="1"/>
  <c r="W22" i="1" s="1"/>
  <c r="X22" i="1" s="1"/>
  <c r="Y22" i="1" s="1"/>
  <c r="F9" i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G11" i="1"/>
  <c r="F8" i="1"/>
  <c r="F20" i="1" s="1"/>
  <c r="G20" i="1" s="1"/>
  <c r="H20" i="1" s="1"/>
  <c r="I20" i="1" s="1"/>
  <c r="J20" i="1" s="1"/>
  <c r="K20" i="1" s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 l="1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 s="1"/>
  <c r="G25" i="49"/>
  <c r="G31" i="49" s="1"/>
  <c r="F28" i="49"/>
  <c r="H32" i="49"/>
  <c r="I14" i="49"/>
  <c r="G33" i="49"/>
  <c r="H15" i="49"/>
  <c r="H13" i="49"/>
  <c r="I24" i="49"/>
  <c r="F30" i="49"/>
  <c r="F34" i="49" s="1"/>
  <c r="F16" i="49"/>
  <c r="G12" i="49"/>
  <c r="I14" i="48"/>
  <c r="H32" i="48"/>
  <c r="G33" i="48"/>
  <c r="H15" i="48"/>
  <c r="F28" i="48"/>
  <c r="G24" i="48"/>
  <c r="G30" i="48" s="1"/>
  <c r="G16" i="48"/>
  <c r="H12" i="48"/>
  <c r="F34" i="48"/>
  <c r="H13" i="48"/>
  <c r="G31" i="48"/>
  <c r="F28" i="47"/>
  <c r="G24" i="47"/>
  <c r="G30" i="47" s="1"/>
  <c r="G34" i="47" s="1"/>
  <c r="I32" i="47"/>
  <c r="J14" i="47"/>
  <c r="I13" i="47"/>
  <c r="H31" i="47"/>
  <c r="G33" i="47"/>
  <c r="H15" i="47"/>
  <c r="F30" i="47"/>
  <c r="F34" i="47" s="1"/>
  <c r="G16" i="47"/>
  <c r="H12" i="47"/>
  <c r="G33" i="46"/>
  <c r="H15" i="46"/>
  <c r="I14" i="46"/>
  <c r="H32" i="46"/>
  <c r="H13" i="46"/>
  <c r="G31" i="46"/>
  <c r="G12" i="46"/>
  <c r="F16" i="46"/>
  <c r="F30" i="46"/>
  <c r="F34" i="46" s="1"/>
  <c r="F28" i="46"/>
  <c r="G24" i="46"/>
  <c r="H13" i="45"/>
  <c r="G31" i="45"/>
  <c r="G32" i="45"/>
  <c r="H14" i="45"/>
  <c r="G33" i="45"/>
  <c r="H15" i="45"/>
  <c r="F16" i="45"/>
  <c r="G12" i="45"/>
  <c r="F30" i="45"/>
  <c r="F34" i="45" s="1"/>
  <c r="F28" i="45"/>
  <c r="G24" i="45"/>
  <c r="E34" i="44"/>
  <c r="G33" i="44"/>
  <c r="H15" i="44"/>
  <c r="F16" i="44"/>
  <c r="G12" i="44"/>
  <c r="F30" i="44"/>
  <c r="F34" i="44" s="1"/>
  <c r="H13" i="44"/>
  <c r="I24" i="44"/>
  <c r="H32" i="44"/>
  <c r="I14" i="44"/>
  <c r="G25" i="44"/>
  <c r="G31" i="44" s="1"/>
  <c r="F28" i="44"/>
  <c r="F16" i="43"/>
  <c r="G12" i="43"/>
  <c r="F30" i="43"/>
  <c r="F34" i="43" s="1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 s="1"/>
  <c r="I14" i="42"/>
  <c r="H32" i="42"/>
  <c r="F28" i="42"/>
  <c r="G24" i="42"/>
  <c r="H13" i="42"/>
  <c r="G31" i="42"/>
  <c r="G15" i="15"/>
  <c r="F33" i="15"/>
  <c r="E34" i="15"/>
  <c r="G26" i="15"/>
  <c r="F14" i="15"/>
  <c r="F32" i="15" s="1"/>
  <c r="F13" i="15"/>
  <c r="F31" i="15" s="1"/>
  <c r="F12" i="15"/>
  <c r="F30" i="15" s="1"/>
  <c r="D16" i="15"/>
  <c r="C16" i="15"/>
  <c r="B2" i="2"/>
  <c r="G34" i="48" l="1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 s="1"/>
  <c r="I13" i="49"/>
  <c r="I15" i="49"/>
  <c r="H33" i="49"/>
  <c r="G16" i="49"/>
  <c r="H12" i="49"/>
  <c r="G30" i="49"/>
  <c r="G34" i="49" s="1"/>
  <c r="J14" i="49"/>
  <c r="I32" i="49"/>
  <c r="J24" i="49"/>
  <c r="H25" i="49"/>
  <c r="G28" i="49"/>
  <c r="I15" i="48"/>
  <c r="H33" i="48"/>
  <c r="H31" i="48"/>
  <c r="I13" i="48"/>
  <c r="I12" i="48"/>
  <c r="H30" i="48"/>
  <c r="H34" i="48" s="1"/>
  <c r="H16" i="48"/>
  <c r="I32" i="48"/>
  <c r="J14" i="48"/>
  <c r="G28" i="48"/>
  <c r="H24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 s="1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 s="1"/>
  <c r="G28" i="45"/>
  <c r="H24" i="45"/>
  <c r="I13" i="45"/>
  <c r="H31" i="45"/>
  <c r="I13" i="44"/>
  <c r="J14" i="44"/>
  <c r="I32" i="44"/>
  <c r="H25" i="44"/>
  <c r="H31" i="44" s="1"/>
  <c r="G28" i="44"/>
  <c r="G16" i="44"/>
  <c r="H12" i="44"/>
  <c r="G30" i="44"/>
  <c r="G34" i="44" s="1"/>
  <c r="I15" i="44"/>
  <c r="H33" i="44"/>
  <c r="J24" i="44"/>
  <c r="I14" i="43"/>
  <c r="H32" i="43"/>
  <c r="I15" i="43"/>
  <c r="H33" i="43"/>
  <c r="G16" i="43"/>
  <c r="H12" i="43"/>
  <c r="G30" i="43"/>
  <c r="G34" i="43" s="1"/>
  <c r="I13" i="43"/>
  <c r="H31" i="43"/>
  <c r="G28" i="43"/>
  <c r="H24" i="43"/>
  <c r="J14" i="42"/>
  <c r="I32" i="42"/>
  <c r="I15" i="42"/>
  <c r="H33" i="42"/>
  <c r="G16" i="42"/>
  <c r="H12" i="42"/>
  <c r="G30" i="42"/>
  <c r="G34" i="42" s="1"/>
  <c r="I13" i="42"/>
  <c r="H31" i="42"/>
  <c r="G28" i="42"/>
  <c r="H24" i="42"/>
  <c r="H15" i="15"/>
  <c r="G33" i="15"/>
  <c r="F34" i="15"/>
  <c r="H26" i="15"/>
  <c r="F28" i="15"/>
  <c r="G12" i="15"/>
  <c r="G30" i="15" s="1"/>
  <c r="G28" i="15"/>
  <c r="G13" i="15"/>
  <c r="G31" i="15" s="1"/>
  <c r="G14" i="15"/>
  <c r="G32" i="15" s="1"/>
  <c r="C26" i="1"/>
  <c r="C27" i="1"/>
  <c r="B46" i="2"/>
  <c r="B45" i="2"/>
  <c r="B44" i="2"/>
  <c r="B43" i="2"/>
  <c r="B40" i="2"/>
  <c r="B39" i="2"/>
  <c r="B38" i="2"/>
  <c r="B37" i="2"/>
  <c r="C13" i="2"/>
  <c r="C31" i="2" s="1"/>
  <c r="C14" i="2"/>
  <c r="C32" i="2" s="1"/>
  <c r="C15" i="2"/>
  <c r="C33" i="2" s="1"/>
  <c r="C12" i="2"/>
  <c r="C30" i="2" s="1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C4" i="2"/>
  <c r="D4" i="2" s="1"/>
  <c r="E4" i="2" s="1"/>
  <c r="F4" i="2" s="1"/>
  <c r="G4" i="2" s="1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N5" i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C5" i="1"/>
  <c r="D5" i="1" s="1"/>
  <c r="E5" i="1" s="1"/>
  <c r="F5" i="1" s="1"/>
  <c r="G5" i="1" s="1"/>
  <c r="H5" i="1" s="1"/>
  <c r="I5" i="1" s="1"/>
  <c r="J5" i="1" s="1"/>
  <c r="K5" i="1" s="1"/>
  <c r="L5" i="1" s="1"/>
  <c r="M5" i="1" s="1"/>
  <c r="N26" i="2" l="1"/>
  <c r="D12" i="2"/>
  <c r="D30" i="2" s="1"/>
  <c r="D15" i="2"/>
  <c r="D33" i="2" s="1"/>
  <c r="D14" i="2"/>
  <c r="D32" i="2" s="1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 s="1"/>
  <c r="I12" i="50"/>
  <c r="H16" i="50"/>
  <c r="J15" i="50"/>
  <c r="I33" i="50"/>
  <c r="K14" i="49"/>
  <c r="J32" i="49"/>
  <c r="I12" i="49"/>
  <c r="H30" i="49"/>
  <c r="H16" i="49"/>
  <c r="I25" i="49"/>
  <c r="I31" i="49" s="1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 s="1"/>
  <c r="J15" i="47"/>
  <c r="I33" i="47"/>
  <c r="L14" i="47"/>
  <c r="K32" i="47"/>
  <c r="K13" i="47"/>
  <c r="J31" i="47"/>
  <c r="H30" i="46"/>
  <c r="H34" i="46" s="1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 s="1"/>
  <c r="H16" i="45"/>
  <c r="J13" i="45"/>
  <c r="I31" i="45"/>
  <c r="J15" i="45"/>
  <c r="I33" i="45"/>
  <c r="H28" i="45"/>
  <c r="I24" i="45"/>
  <c r="H16" i="44"/>
  <c r="I12" i="44"/>
  <c r="H30" i="44"/>
  <c r="H34" i="44" s="1"/>
  <c r="K24" i="44"/>
  <c r="I33" i="44"/>
  <c r="J15" i="44"/>
  <c r="I25" i="44"/>
  <c r="I31" i="44" s="1"/>
  <c r="H28" i="44"/>
  <c r="K14" i="44"/>
  <c r="J32" i="44"/>
  <c r="J13" i="44"/>
  <c r="I31" i="43"/>
  <c r="J13" i="43"/>
  <c r="I12" i="43"/>
  <c r="H30" i="43"/>
  <c r="H34" i="43" s="1"/>
  <c r="H16" i="43"/>
  <c r="H28" i="43"/>
  <c r="I24" i="43"/>
  <c r="J15" i="43"/>
  <c r="I33" i="43"/>
  <c r="J14" i="43"/>
  <c r="I32" i="43"/>
  <c r="H30" i="42"/>
  <c r="H34" i="42" s="1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 s="1"/>
  <c r="H28" i="15"/>
  <c r="H14" i="15"/>
  <c r="H32" i="15" s="1"/>
  <c r="H13" i="15"/>
  <c r="H31" i="15" s="1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 l="1"/>
  <c r="D31" i="2"/>
  <c r="O26" i="2"/>
  <c r="E26" i="1"/>
  <c r="D28" i="2"/>
  <c r="E13" i="2"/>
  <c r="E31" i="2" s="1"/>
  <c r="D34" i="2"/>
  <c r="E15" i="2"/>
  <c r="E33" i="2" s="1"/>
  <c r="E14" i="2"/>
  <c r="E32" i="2" s="1"/>
  <c r="E12" i="2"/>
  <c r="E30" i="2" s="1"/>
  <c r="E28" i="2"/>
  <c r="C25" i="1"/>
  <c r="C11" i="1"/>
  <c r="C23" i="1" s="1"/>
  <c r="D23" i="1" s="1"/>
  <c r="E23" i="1" s="1"/>
  <c r="F23" i="1" s="1"/>
  <c r="G23" i="1" s="1"/>
  <c r="H23" i="1" s="1"/>
  <c r="I23" i="1" s="1"/>
  <c r="J23" i="1" s="1"/>
  <c r="K23" i="1" s="1"/>
  <c r="L23" i="1" s="1"/>
  <c r="M23" i="1" s="1"/>
  <c r="N23" i="1" s="1"/>
  <c r="O23" i="1" s="1"/>
  <c r="P23" i="1" s="1"/>
  <c r="Q23" i="1" s="1"/>
  <c r="R23" i="1" s="1"/>
  <c r="S23" i="1" s="1"/>
  <c r="T23" i="1" s="1"/>
  <c r="U23" i="1" s="1"/>
  <c r="V23" i="1" s="1"/>
  <c r="W23" i="1" s="1"/>
  <c r="X23" i="1" s="1"/>
  <c r="Y23" i="1" s="1"/>
  <c r="D28" i="1"/>
  <c r="K14" i="50"/>
  <c r="J32" i="50"/>
  <c r="K13" i="50"/>
  <c r="J31" i="50"/>
  <c r="J12" i="50"/>
  <c r="I30" i="50"/>
  <c r="I34" i="50" s="1"/>
  <c r="I16" i="50"/>
  <c r="K15" i="50"/>
  <c r="J33" i="50"/>
  <c r="J24" i="50"/>
  <c r="I28" i="50"/>
  <c r="J25" i="49"/>
  <c r="I28" i="49"/>
  <c r="J12" i="49"/>
  <c r="I16" i="49"/>
  <c r="I30" i="49"/>
  <c r="I34" i="49" s="1"/>
  <c r="K13" i="49"/>
  <c r="J31" i="49"/>
  <c r="K15" i="49"/>
  <c r="J33" i="49"/>
  <c r="H34" i="49"/>
  <c r="L24" i="49"/>
  <c r="L14" i="49"/>
  <c r="K32" i="49"/>
  <c r="I28" i="48"/>
  <c r="J24" i="48"/>
  <c r="J30" i="48" s="1"/>
  <c r="K13" i="48"/>
  <c r="J31" i="48"/>
  <c r="J33" i="48"/>
  <c r="K15" i="48"/>
  <c r="I30" i="48"/>
  <c r="I34" i="48" s="1"/>
  <c r="L14" i="48"/>
  <c r="K32" i="48"/>
  <c r="J16" i="48"/>
  <c r="K12" i="48"/>
  <c r="K15" i="47"/>
  <c r="J33" i="47"/>
  <c r="J24" i="47"/>
  <c r="J30" i="47" s="1"/>
  <c r="J34" i="47" s="1"/>
  <c r="I28" i="47"/>
  <c r="L13" i="47"/>
  <c r="K31" i="47"/>
  <c r="I30" i="47"/>
  <c r="I34" i="47" s="1"/>
  <c r="M14" i="47"/>
  <c r="L32" i="47"/>
  <c r="K12" i="47"/>
  <c r="J16" i="47"/>
  <c r="K15" i="46"/>
  <c r="J33" i="46"/>
  <c r="L14" i="46"/>
  <c r="K32" i="46"/>
  <c r="J12" i="46"/>
  <c r="I30" i="46"/>
  <c r="I34" i="46" s="1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 s="1"/>
  <c r="I16" i="45"/>
  <c r="K14" i="45"/>
  <c r="J32" i="45"/>
  <c r="K15" i="44"/>
  <c r="J33" i="44"/>
  <c r="K13" i="44"/>
  <c r="J25" i="44"/>
  <c r="J31" i="44" s="1"/>
  <c r="I28" i="44"/>
  <c r="L24" i="44"/>
  <c r="L14" i="44"/>
  <c r="K32" i="44"/>
  <c r="J12" i="44"/>
  <c r="I16" i="44"/>
  <c r="I30" i="44"/>
  <c r="I34" i="44" s="1"/>
  <c r="K15" i="43"/>
  <c r="J33" i="43"/>
  <c r="J24" i="43"/>
  <c r="I28" i="43"/>
  <c r="K14" i="43"/>
  <c r="J32" i="43"/>
  <c r="K13" i="43"/>
  <c r="J31" i="43"/>
  <c r="J12" i="43"/>
  <c r="I30" i="43"/>
  <c r="I34" i="43" s="1"/>
  <c r="I16" i="43"/>
  <c r="K15" i="42"/>
  <c r="J33" i="42"/>
  <c r="I28" i="42"/>
  <c r="J24" i="42"/>
  <c r="K13" i="42"/>
  <c r="J31" i="42"/>
  <c r="L14" i="42"/>
  <c r="K32" i="42"/>
  <c r="J12" i="42"/>
  <c r="I30" i="42"/>
  <c r="I34" i="42" s="1"/>
  <c r="I16" i="42"/>
  <c r="J15" i="15"/>
  <c r="I33" i="15"/>
  <c r="H34" i="15"/>
  <c r="J26" i="15"/>
  <c r="I13" i="15"/>
  <c r="I31" i="15" s="1"/>
  <c r="I12" i="15"/>
  <c r="I30" i="15" s="1"/>
  <c r="I14" i="15"/>
  <c r="I32" i="15" s="1"/>
  <c r="D27" i="1"/>
  <c r="E27" i="1"/>
  <c r="G16" i="15"/>
  <c r="F16" i="15"/>
  <c r="F41" i="2"/>
  <c r="E47" i="2"/>
  <c r="C34" i="2"/>
  <c r="C47" i="2"/>
  <c r="D47" i="2"/>
  <c r="P26" i="2" l="1"/>
  <c r="F15" i="2"/>
  <c r="F33" i="2" s="1"/>
  <c r="D25" i="1"/>
  <c r="F14" i="2"/>
  <c r="F32" i="2" s="1"/>
  <c r="F12" i="2"/>
  <c r="F30" i="2" s="1"/>
  <c r="E16" i="2"/>
  <c r="F28" i="2"/>
  <c r="F13" i="2"/>
  <c r="F31" i="2" s="1"/>
  <c r="C29" i="1"/>
  <c r="D29" i="1"/>
  <c r="E28" i="1"/>
  <c r="L15" i="50"/>
  <c r="K33" i="50"/>
  <c r="K31" i="50"/>
  <c r="L13" i="50"/>
  <c r="J30" i="50"/>
  <c r="J34" i="50" s="1"/>
  <c r="J16" i="50"/>
  <c r="K12" i="50"/>
  <c r="K24" i="50"/>
  <c r="J28" i="50"/>
  <c r="L14" i="50"/>
  <c r="K32" i="50"/>
  <c r="L15" i="49"/>
  <c r="K33" i="49"/>
  <c r="L13" i="49"/>
  <c r="J30" i="49"/>
  <c r="J34" i="49" s="1"/>
  <c r="J16" i="49"/>
  <c r="K12" i="49"/>
  <c r="L32" i="49"/>
  <c r="M14" i="49"/>
  <c r="M24" i="49"/>
  <c r="K25" i="49"/>
  <c r="K31" i="49" s="1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 s="1"/>
  <c r="K34" i="48" s="1"/>
  <c r="L31" i="47"/>
  <c r="M13" i="47"/>
  <c r="M32" i="47"/>
  <c r="N14" i="47"/>
  <c r="K16" i="47"/>
  <c r="L12" i="47"/>
  <c r="J28" i="47"/>
  <c r="K24" i="47"/>
  <c r="K30" i="47" s="1"/>
  <c r="K34" i="47" s="1"/>
  <c r="L15" i="47"/>
  <c r="K33" i="47"/>
  <c r="K31" i="46"/>
  <c r="L13" i="46"/>
  <c r="J30" i="46"/>
  <c r="J34" i="46" s="1"/>
  <c r="J16" i="46"/>
  <c r="K12" i="46"/>
  <c r="J28" i="46"/>
  <c r="K24" i="46"/>
  <c r="L32" i="46"/>
  <c r="M14" i="46"/>
  <c r="K33" i="46"/>
  <c r="L15" i="46"/>
  <c r="J30" i="45"/>
  <c r="J34" i="45" s="1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 s="1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 s="1"/>
  <c r="J16" i="43"/>
  <c r="K12" i="43"/>
  <c r="L15" i="43"/>
  <c r="K33" i="43"/>
  <c r="L32" i="42"/>
  <c r="M14" i="42"/>
  <c r="K31" i="42"/>
  <c r="L13" i="42"/>
  <c r="J28" i="42"/>
  <c r="K24" i="42"/>
  <c r="J30" i="42"/>
  <c r="J34" i="42" s="1"/>
  <c r="J16" i="42"/>
  <c r="K12" i="42"/>
  <c r="K33" i="42"/>
  <c r="L15" i="42"/>
  <c r="K15" i="15"/>
  <c r="J33" i="15"/>
  <c r="I34" i="15"/>
  <c r="K26" i="15"/>
  <c r="J14" i="15"/>
  <c r="J32" i="15" s="1"/>
  <c r="I28" i="15"/>
  <c r="J12" i="15"/>
  <c r="J30" i="15" s="1"/>
  <c r="J13" i="15"/>
  <c r="J31" i="15" s="1"/>
  <c r="F26" i="1"/>
  <c r="F27" i="1"/>
  <c r="Q26" i="2" l="1"/>
  <c r="G12" i="2"/>
  <c r="G30" i="2" s="1"/>
  <c r="G14" i="2"/>
  <c r="G32" i="2" s="1"/>
  <c r="E34" i="2"/>
  <c r="E29" i="1"/>
  <c r="F16" i="2"/>
  <c r="G13" i="2"/>
  <c r="G31" i="2" s="1"/>
  <c r="F34" i="2"/>
  <c r="G15" i="2"/>
  <c r="G33" i="2" s="1"/>
  <c r="F28" i="1"/>
  <c r="K28" i="50"/>
  <c r="L24" i="50"/>
  <c r="K30" i="50"/>
  <c r="K34" i="50" s="1"/>
  <c r="L12" i="50"/>
  <c r="K16" i="50"/>
  <c r="L32" i="50"/>
  <c r="M14" i="50"/>
  <c r="L31" i="50"/>
  <c r="M13" i="50"/>
  <c r="M15" i="50"/>
  <c r="L33" i="50"/>
  <c r="M13" i="49"/>
  <c r="K30" i="49"/>
  <c r="K34" i="49" s="1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 s="1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 s="1"/>
  <c r="L12" i="45"/>
  <c r="L32" i="45"/>
  <c r="M14" i="45"/>
  <c r="K30" i="44"/>
  <c r="K34" i="44" s="1"/>
  <c r="K16" i="44"/>
  <c r="L12" i="44"/>
  <c r="M15" i="44"/>
  <c r="L33" i="44"/>
  <c r="N24" i="44"/>
  <c r="M32" i="44"/>
  <c r="N14" i="44"/>
  <c r="M13" i="44"/>
  <c r="L25" i="44"/>
  <c r="L31" i="44" s="1"/>
  <c r="K28" i="44"/>
  <c r="L32" i="43"/>
  <c r="M14" i="43"/>
  <c r="L31" i="43"/>
  <c r="M13" i="43"/>
  <c r="M15" i="43"/>
  <c r="L33" i="43"/>
  <c r="K30" i="43"/>
  <c r="K34" i="43" s="1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 s="1"/>
  <c r="K16" i="42"/>
  <c r="L12" i="42"/>
  <c r="L15" i="15"/>
  <c r="K33" i="15"/>
  <c r="J34" i="15"/>
  <c r="L26" i="15"/>
  <c r="K13" i="15"/>
  <c r="K31" i="15" s="1"/>
  <c r="J28" i="15"/>
  <c r="K12" i="15"/>
  <c r="K30" i="15" s="1"/>
  <c r="K14" i="15"/>
  <c r="K32" i="15" s="1"/>
  <c r="E25" i="1"/>
  <c r="G27" i="1"/>
  <c r="G26" i="1"/>
  <c r="I16" i="15"/>
  <c r="H16" i="15"/>
  <c r="R26" i="2" l="1"/>
  <c r="F29" i="1"/>
  <c r="H13" i="2"/>
  <c r="H31" i="2" s="1"/>
  <c r="H15" i="2"/>
  <c r="H33" i="2" s="1"/>
  <c r="H12" i="2"/>
  <c r="H30" i="2" s="1"/>
  <c r="G16" i="2"/>
  <c r="H14" i="2"/>
  <c r="H32" i="2" s="1"/>
  <c r="G28" i="2"/>
  <c r="G28" i="1"/>
  <c r="M32" i="50"/>
  <c r="N14" i="50"/>
  <c r="L30" i="50"/>
  <c r="L34" i="50" s="1"/>
  <c r="L16" i="50"/>
  <c r="M12" i="50"/>
  <c r="M33" i="50"/>
  <c r="N15" i="50"/>
  <c r="M24" i="50"/>
  <c r="L28" i="50"/>
  <c r="M31" i="50"/>
  <c r="N13" i="50"/>
  <c r="M25" i="49"/>
  <c r="M31" i="49" s="1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 s="1"/>
  <c r="O13" i="47"/>
  <c r="N31" i="47"/>
  <c r="N15" i="47"/>
  <c r="M33" i="47"/>
  <c r="N12" i="47"/>
  <c r="M16" i="47"/>
  <c r="M24" i="47"/>
  <c r="L28" i="47"/>
  <c r="P14" i="47"/>
  <c r="P32" i="47" s="1"/>
  <c r="O32" i="47"/>
  <c r="L30" i="47"/>
  <c r="L34" i="47" s="1"/>
  <c r="M33" i="46"/>
  <c r="N15" i="46"/>
  <c r="M31" i="46"/>
  <c r="N13" i="46"/>
  <c r="L30" i="46"/>
  <c r="L34" i="46" s="1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 s="1"/>
  <c r="L16" i="45"/>
  <c r="M12" i="45"/>
  <c r="O24" i="44"/>
  <c r="N15" i="44"/>
  <c r="M33" i="44"/>
  <c r="M25" i="44"/>
  <c r="L28" i="44"/>
  <c r="L30" i="44"/>
  <c r="L34" i="44" s="1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 s="1"/>
  <c r="L16" i="43"/>
  <c r="M12" i="43"/>
  <c r="N32" i="42"/>
  <c r="O14" i="42"/>
  <c r="M31" i="42"/>
  <c r="N13" i="42"/>
  <c r="M24" i="42"/>
  <c r="L28" i="42"/>
  <c r="L30" i="42"/>
  <c r="L34" i="42" s="1"/>
  <c r="L16" i="42"/>
  <c r="M12" i="42"/>
  <c r="M33" i="42"/>
  <c r="N15" i="42"/>
  <c r="M15" i="15"/>
  <c r="L33" i="15"/>
  <c r="K34" i="15"/>
  <c r="M26" i="15"/>
  <c r="L14" i="15"/>
  <c r="L32" i="15" s="1"/>
  <c r="K28" i="15"/>
  <c r="L12" i="15"/>
  <c r="L30" i="15" s="1"/>
  <c r="L28" i="15"/>
  <c r="L13" i="15"/>
  <c r="L31" i="15" s="1"/>
  <c r="F25" i="1"/>
  <c r="H26" i="1"/>
  <c r="H27" i="1"/>
  <c r="J16" i="15"/>
  <c r="G29" i="1" l="1"/>
  <c r="S26" i="2"/>
  <c r="H28" i="2"/>
  <c r="I15" i="2"/>
  <c r="I33" i="2" s="1"/>
  <c r="I14" i="2"/>
  <c r="I32" i="2" s="1"/>
  <c r="I12" i="2"/>
  <c r="I30" i="2" s="1"/>
  <c r="G34" i="2"/>
  <c r="H16" i="2"/>
  <c r="I28" i="2"/>
  <c r="I13" i="2"/>
  <c r="I31" i="2" s="1"/>
  <c r="H28" i="1"/>
  <c r="N24" i="50"/>
  <c r="M28" i="50"/>
  <c r="N31" i="50"/>
  <c r="O13" i="50"/>
  <c r="N33" i="50"/>
  <c r="O15" i="50"/>
  <c r="N32" i="50"/>
  <c r="O14" i="50"/>
  <c r="M16" i="50"/>
  <c r="M30" i="50"/>
  <c r="M34" i="50" s="1"/>
  <c r="N12" i="50"/>
  <c r="O13" i="49"/>
  <c r="N33" i="49"/>
  <c r="O15" i="49"/>
  <c r="O32" i="49"/>
  <c r="P14" i="49"/>
  <c r="P32" i="49" s="1"/>
  <c r="M16" i="49"/>
  <c r="M30" i="49"/>
  <c r="M34" i="49" s="1"/>
  <c r="N12" i="49"/>
  <c r="P24" i="49"/>
  <c r="L34" i="49"/>
  <c r="N25" i="49"/>
  <c r="M28" i="49"/>
  <c r="N33" i="48"/>
  <c r="O15" i="48"/>
  <c r="P14" i="48"/>
  <c r="P32" i="48" s="1"/>
  <c r="O32" i="48"/>
  <c r="N24" i="48"/>
  <c r="N30" i="48" s="1"/>
  <c r="N34" i="48" s="1"/>
  <c r="M28" i="48"/>
  <c r="O12" i="48"/>
  <c r="N16" i="48"/>
  <c r="O13" i="48"/>
  <c r="N31" i="48"/>
  <c r="M30" i="48"/>
  <c r="M34" i="48" s="1"/>
  <c r="N16" i="47"/>
  <c r="O12" i="47"/>
  <c r="N24" i="47"/>
  <c r="N30" i="47" s="1"/>
  <c r="M28" i="47"/>
  <c r="M30" i="47"/>
  <c r="M34" i="47" s="1"/>
  <c r="N33" i="47"/>
  <c r="O15" i="47"/>
  <c r="P13" i="47"/>
  <c r="P31" i="47" s="1"/>
  <c r="O31" i="47"/>
  <c r="N31" i="46"/>
  <c r="O13" i="46"/>
  <c r="N24" i="46"/>
  <c r="M28" i="46"/>
  <c r="N33" i="46"/>
  <c r="O15" i="46"/>
  <c r="M16" i="46"/>
  <c r="M30" i="46"/>
  <c r="M34" i="46" s="1"/>
  <c r="N12" i="46"/>
  <c r="O32" i="46"/>
  <c r="P14" i="46"/>
  <c r="P32" i="46" s="1"/>
  <c r="N31" i="45"/>
  <c r="O13" i="45"/>
  <c r="N32" i="45"/>
  <c r="O14" i="45"/>
  <c r="N33" i="45"/>
  <c r="O15" i="45"/>
  <c r="N24" i="45"/>
  <c r="M28" i="45"/>
  <c r="M16" i="45"/>
  <c r="M30" i="45"/>
  <c r="M34" i="45" s="1"/>
  <c r="N12" i="45"/>
  <c r="N12" i="44"/>
  <c r="M16" i="44"/>
  <c r="M30" i="44"/>
  <c r="O32" i="44"/>
  <c r="P14" i="44"/>
  <c r="P32" i="44" s="1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 s="1"/>
  <c r="N12" i="43"/>
  <c r="N33" i="43"/>
  <c r="O15" i="43"/>
  <c r="N24" i="42"/>
  <c r="M28" i="42"/>
  <c r="O13" i="42"/>
  <c r="N31" i="42"/>
  <c r="N33" i="42"/>
  <c r="O15" i="42"/>
  <c r="P14" i="42"/>
  <c r="P32" i="42" s="1"/>
  <c r="O32" i="42"/>
  <c r="N12" i="42"/>
  <c r="M16" i="42"/>
  <c r="M30" i="42"/>
  <c r="M34" i="42" s="1"/>
  <c r="N15" i="15"/>
  <c r="M33" i="15"/>
  <c r="L34" i="15"/>
  <c r="N26" i="15"/>
  <c r="M12" i="15"/>
  <c r="M30" i="15" s="1"/>
  <c r="M28" i="15"/>
  <c r="M13" i="15"/>
  <c r="M31" i="15" s="1"/>
  <c r="M14" i="15"/>
  <c r="M32" i="15" s="1"/>
  <c r="G25" i="1"/>
  <c r="I27" i="1"/>
  <c r="I26" i="1"/>
  <c r="N34" i="47" l="1"/>
  <c r="T26" i="2"/>
  <c r="J12" i="2"/>
  <c r="J30" i="2" s="1"/>
  <c r="H34" i="2"/>
  <c r="I16" i="2"/>
  <c r="J28" i="2"/>
  <c r="I34" i="2"/>
  <c r="J13" i="2"/>
  <c r="J31" i="2" s="1"/>
  <c r="J14" i="2"/>
  <c r="J32" i="2" s="1"/>
  <c r="J15" i="2"/>
  <c r="J33" i="2" s="1"/>
  <c r="I28" i="1"/>
  <c r="O32" i="50"/>
  <c r="P14" i="50"/>
  <c r="P32" i="50" s="1"/>
  <c r="O33" i="50"/>
  <c r="P15" i="50"/>
  <c r="P33" i="50" s="1"/>
  <c r="N16" i="50"/>
  <c r="O12" i="50"/>
  <c r="N30" i="50"/>
  <c r="N34" i="50" s="1"/>
  <c r="P13" i="50"/>
  <c r="P31" i="50" s="1"/>
  <c r="O31" i="50"/>
  <c r="N28" i="50"/>
  <c r="O24" i="50"/>
  <c r="O25" i="49"/>
  <c r="O31" i="49" s="1"/>
  <c r="N28" i="49"/>
  <c r="P13" i="49"/>
  <c r="O33" i="49"/>
  <c r="P15" i="49"/>
  <c r="P33" i="49" s="1"/>
  <c r="N16" i="49"/>
  <c r="N30" i="49"/>
  <c r="O12" i="49"/>
  <c r="N31" i="49"/>
  <c r="O16" i="48"/>
  <c r="P12" i="48"/>
  <c r="N28" i="48"/>
  <c r="O24" i="48"/>
  <c r="P13" i="48"/>
  <c r="P31" i="48" s="1"/>
  <c r="O31" i="48"/>
  <c r="O33" i="48"/>
  <c r="P15" i="48"/>
  <c r="P33" i="48" s="1"/>
  <c r="O33" i="47"/>
  <c r="P15" i="47"/>
  <c r="P33" i="47" s="1"/>
  <c r="O16" i="47"/>
  <c r="P12" i="47"/>
  <c r="N28" i="47"/>
  <c r="O24" i="47"/>
  <c r="O33" i="46"/>
  <c r="P15" i="46"/>
  <c r="P33" i="46" s="1"/>
  <c r="N28" i="46"/>
  <c r="O24" i="46"/>
  <c r="P13" i="46"/>
  <c r="P31" i="46" s="1"/>
  <c r="O31" i="46"/>
  <c r="N16" i="46"/>
  <c r="O12" i="46"/>
  <c r="N30" i="46"/>
  <c r="N34" i="46" s="1"/>
  <c r="N28" i="45"/>
  <c r="O24" i="45"/>
  <c r="O33" i="45"/>
  <c r="P15" i="45"/>
  <c r="P33" i="45" s="1"/>
  <c r="O32" i="45"/>
  <c r="P14" i="45"/>
  <c r="P32" i="45" s="1"/>
  <c r="N16" i="45"/>
  <c r="O12" i="45"/>
  <c r="N30" i="45"/>
  <c r="N34" i="45" s="1"/>
  <c r="P13" i="45"/>
  <c r="P31" i="45" s="1"/>
  <c r="O31" i="45"/>
  <c r="O25" i="44"/>
  <c r="O31" i="44" s="1"/>
  <c r="N28" i="44"/>
  <c r="O33" i="44"/>
  <c r="P15" i="44"/>
  <c r="P33" i="44" s="1"/>
  <c r="M34" i="44"/>
  <c r="N31" i="44"/>
  <c r="P13" i="44"/>
  <c r="N30" i="44"/>
  <c r="N16" i="44"/>
  <c r="O12" i="44"/>
  <c r="P13" i="43"/>
  <c r="P31" i="43" s="1"/>
  <c r="O31" i="43"/>
  <c r="N28" i="43"/>
  <c r="O24" i="43"/>
  <c r="O33" i="43"/>
  <c r="P15" i="43"/>
  <c r="P33" i="43" s="1"/>
  <c r="O32" i="43"/>
  <c r="P14" i="43"/>
  <c r="P32" i="43" s="1"/>
  <c r="N16" i="43"/>
  <c r="O12" i="43"/>
  <c r="N30" i="43"/>
  <c r="N34" i="43" s="1"/>
  <c r="O33" i="42"/>
  <c r="P15" i="42"/>
  <c r="P33" i="42" s="1"/>
  <c r="P13" i="42"/>
  <c r="P31" i="42" s="1"/>
  <c r="O31" i="42"/>
  <c r="N16" i="42"/>
  <c r="O12" i="42"/>
  <c r="N30" i="42"/>
  <c r="N34" i="42" s="1"/>
  <c r="N28" i="42"/>
  <c r="O24" i="42"/>
  <c r="O15" i="15"/>
  <c r="N33" i="15"/>
  <c r="M34" i="15"/>
  <c r="O26" i="15"/>
  <c r="N13" i="15"/>
  <c r="N31" i="15" s="1"/>
  <c r="N14" i="15"/>
  <c r="N32" i="15" s="1"/>
  <c r="N12" i="15"/>
  <c r="N30" i="15" s="1"/>
  <c r="N28" i="15"/>
  <c r="H29" i="1"/>
  <c r="H25" i="1"/>
  <c r="J26" i="1"/>
  <c r="J27" i="1"/>
  <c r="L16" i="15"/>
  <c r="K16" i="15"/>
  <c r="U26" i="2" l="1"/>
  <c r="K14" i="2"/>
  <c r="K32" i="2" s="1"/>
  <c r="K12" i="2"/>
  <c r="K30" i="2" s="1"/>
  <c r="J16" i="2"/>
  <c r="K13" i="2"/>
  <c r="K31" i="2" s="1"/>
  <c r="K15" i="2"/>
  <c r="K33" i="2" s="1"/>
  <c r="J28" i="1"/>
  <c r="O16" i="50"/>
  <c r="P12" i="50"/>
  <c r="O30" i="50"/>
  <c r="O34" i="50" s="1"/>
  <c r="O28" i="50"/>
  <c r="P24" i="50"/>
  <c r="P28" i="50" s="1"/>
  <c r="O16" i="49"/>
  <c r="P12" i="49"/>
  <c r="O30" i="49"/>
  <c r="O34" i="49" s="1"/>
  <c r="P31" i="49"/>
  <c r="N34" i="49"/>
  <c r="P25" i="49"/>
  <c r="P28" i="49" s="1"/>
  <c r="O28" i="49"/>
  <c r="P16" i="48"/>
  <c r="O28" i="48"/>
  <c r="P24" i="48"/>
  <c r="P28" i="48" s="1"/>
  <c r="O30" i="48"/>
  <c r="O34" i="48" s="1"/>
  <c r="O28" i="47"/>
  <c r="P24" i="47"/>
  <c r="P28" i="47" s="1"/>
  <c r="P30" i="47"/>
  <c r="P34" i="47" s="1"/>
  <c r="P16" i="47"/>
  <c r="O30" i="47"/>
  <c r="O34" i="47" s="1"/>
  <c r="O16" i="46"/>
  <c r="P12" i="46"/>
  <c r="O30" i="46"/>
  <c r="O34" i="46" s="1"/>
  <c r="O28" i="46"/>
  <c r="P24" i="46"/>
  <c r="P28" i="46" s="1"/>
  <c r="O16" i="45"/>
  <c r="P12" i="45"/>
  <c r="O30" i="45"/>
  <c r="O34" i="45" s="1"/>
  <c r="O28" i="45"/>
  <c r="P24" i="45"/>
  <c r="P28" i="45" s="1"/>
  <c r="O16" i="44"/>
  <c r="O30" i="44"/>
  <c r="O34" i="44" s="1"/>
  <c r="P12" i="44"/>
  <c r="N34" i="44"/>
  <c r="P25" i="44"/>
  <c r="P28" i="44" s="1"/>
  <c r="O28" i="44"/>
  <c r="O28" i="43"/>
  <c r="P24" i="43"/>
  <c r="P28" i="43" s="1"/>
  <c r="O16" i="43"/>
  <c r="P12" i="43"/>
  <c r="O30" i="43"/>
  <c r="O34" i="43" s="1"/>
  <c r="O16" i="42"/>
  <c r="P12" i="42"/>
  <c r="O30" i="42"/>
  <c r="O34" i="42" s="1"/>
  <c r="O28" i="42"/>
  <c r="P24" i="42"/>
  <c r="P28" i="42" s="1"/>
  <c r="P15" i="15"/>
  <c r="P33" i="15" s="1"/>
  <c r="O33" i="15"/>
  <c r="N34" i="15"/>
  <c r="P26" i="15"/>
  <c r="O14" i="15"/>
  <c r="O32" i="15" s="1"/>
  <c r="O12" i="15"/>
  <c r="O30" i="15" s="1"/>
  <c r="O13" i="15"/>
  <c r="O31" i="15" s="1"/>
  <c r="I25" i="1"/>
  <c r="I29" i="1"/>
  <c r="K27" i="1"/>
  <c r="K26" i="1"/>
  <c r="M16" i="15"/>
  <c r="V26" i="2" l="1"/>
  <c r="L13" i="2"/>
  <c r="L31" i="2" s="1"/>
  <c r="K28" i="2"/>
  <c r="L12" i="2"/>
  <c r="L30" i="2" s="1"/>
  <c r="K16" i="2"/>
  <c r="L15" i="2"/>
  <c r="L33" i="2" s="1"/>
  <c r="J34" i="2"/>
  <c r="L14" i="2"/>
  <c r="L32" i="2" s="1"/>
  <c r="K28" i="1"/>
  <c r="P30" i="50"/>
  <c r="P34" i="50" s="1"/>
  <c r="P16" i="50"/>
  <c r="P30" i="49"/>
  <c r="P34" i="49" s="1"/>
  <c r="P16" i="49"/>
  <c r="P30" i="48"/>
  <c r="P34" i="48" s="1"/>
  <c r="P30" i="46"/>
  <c r="P34" i="46" s="1"/>
  <c r="P16" i="46"/>
  <c r="P30" i="45"/>
  <c r="P34" i="45" s="1"/>
  <c r="P16" i="45"/>
  <c r="P30" i="44"/>
  <c r="P16" i="44"/>
  <c r="P31" i="44"/>
  <c r="P30" i="43"/>
  <c r="P34" i="43" s="1"/>
  <c r="P16" i="43"/>
  <c r="P30" i="42"/>
  <c r="P34" i="42" s="1"/>
  <c r="P16" i="42"/>
  <c r="O34" i="15"/>
  <c r="P13" i="15"/>
  <c r="P31" i="15" s="1"/>
  <c r="O28" i="15"/>
  <c r="P12" i="15"/>
  <c r="P30" i="15" s="1"/>
  <c r="P14" i="15"/>
  <c r="P32" i="15" s="1"/>
  <c r="J29" i="1"/>
  <c r="J25" i="1"/>
  <c r="L27" i="1"/>
  <c r="L26" i="1"/>
  <c r="N16" i="15"/>
  <c r="W26" i="2" l="1"/>
  <c r="M12" i="2"/>
  <c r="M30" i="2" s="1"/>
  <c r="L16" i="2"/>
  <c r="M13" i="2"/>
  <c r="M31" i="2" s="1"/>
  <c r="L34" i="2"/>
  <c r="M14" i="2"/>
  <c r="M32" i="2" s="1"/>
  <c r="K34" i="2"/>
  <c r="M15" i="2"/>
  <c r="M33" i="2" s="1"/>
  <c r="L28" i="2"/>
  <c r="L28" i="1"/>
  <c r="P34" i="44"/>
  <c r="P34" i="15"/>
  <c r="P28" i="15"/>
  <c r="K29" i="1"/>
  <c r="K25" i="1"/>
  <c r="M27" i="1"/>
  <c r="M26" i="1"/>
  <c r="N14" i="2" l="1"/>
  <c r="N32" i="2" s="1"/>
  <c r="N28" i="2"/>
  <c r="M34" i="2"/>
  <c r="N13" i="2"/>
  <c r="N31" i="2" s="1"/>
  <c r="M28" i="2"/>
  <c r="N15" i="2"/>
  <c r="N33" i="2" s="1"/>
  <c r="N12" i="2"/>
  <c r="N30" i="2" s="1"/>
  <c r="M16" i="2"/>
  <c r="M28" i="1"/>
  <c r="L25" i="1"/>
  <c r="L29" i="1"/>
  <c r="N27" i="1"/>
  <c r="N26" i="1"/>
  <c r="P16" i="15"/>
  <c r="O16" i="15"/>
  <c r="O15" i="2" l="1"/>
  <c r="O33" i="2" s="1"/>
  <c r="O13" i="2"/>
  <c r="O31" i="2" s="1"/>
  <c r="O12" i="2"/>
  <c r="O30" i="2" s="1"/>
  <c r="N16" i="2"/>
  <c r="O14" i="2"/>
  <c r="O32" i="2" s="1"/>
  <c r="N28" i="1"/>
  <c r="M29" i="1"/>
  <c r="M25" i="1"/>
  <c r="O27" i="1"/>
  <c r="O26" i="1"/>
  <c r="N34" i="2" l="1"/>
  <c r="O28" i="2"/>
  <c r="O34" i="2"/>
  <c r="P13" i="2"/>
  <c r="P31" i="2" s="1"/>
  <c r="P14" i="2"/>
  <c r="P32" i="2" s="1"/>
  <c r="P12" i="2"/>
  <c r="P30" i="2" s="1"/>
  <c r="O16" i="2"/>
  <c r="P15" i="2"/>
  <c r="P33" i="2" s="1"/>
  <c r="O28" i="1"/>
  <c r="N25" i="1"/>
  <c r="N29" i="1"/>
  <c r="P27" i="1"/>
  <c r="P26" i="1"/>
  <c r="Q14" i="2" l="1"/>
  <c r="Q32" i="2" s="1"/>
  <c r="Q12" i="2"/>
  <c r="Q30" i="2" s="1"/>
  <c r="P16" i="2"/>
  <c r="Q13" i="2"/>
  <c r="Q31" i="2" s="1"/>
  <c r="P28" i="2"/>
  <c r="Q15" i="2"/>
  <c r="Q33" i="2" s="1"/>
  <c r="P28" i="1"/>
  <c r="O29" i="1"/>
  <c r="O25" i="1"/>
  <c r="Q26" i="1"/>
  <c r="Q27" i="1"/>
  <c r="R15" i="2" l="1"/>
  <c r="R33" i="2" s="1"/>
  <c r="Q28" i="2"/>
  <c r="R12" i="2"/>
  <c r="R30" i="2" s="1"/>
  <c r="Q16" i="2"/>
  <c r="R28" i="2"/>
  <c r="R13" i="2"/>
  <c r="R31" i="2" s="1"/>
  <c r="P34" i="2"/>
  <c r="R14" i="2"/>
  <c r="R32" i="2" s="1"/>
  <c r="Q28" i="1"/>
  <c r="P25" i="1"/>
  <c r="P29" i="1"/>
  <c r="R26" i="1"/>
  <c r="R27" i="1"/>
  <c r="S12" i="2" l="1"/>
  <c r="S30" i="2" s="1"/>
  <c r="R16" i="2"/>
  <c r="Q34" i="2"/>
  <c r="S14" i="2"/>
  <c r="S32" i="2" s="1"/>
  <c r="S13" i="2"/>
  <c r="S31" i="2" s="1"/>
  <c r="R34" i="2"/>
  <c r="S15" i="2"/>
  <c r="S33" i="2" s="1"/>
  <c r="R28" i="1"/>
  <c r="Q29" i="1"/>
  <c r="Q25" i="1"/>
  <c r="S27" i="1"/>
  <c r="S26" i="1"/>
  <c r="T14" i="2" l="1"/>
  <c r="T32" i="2" s="1"/>
  <c r="T15" i="2"/>
  <c r="T33" i="2" s="1"/>
  <c r="T12" i="2"/>
  <c r="T30" i="2" s="1"/>
  <c r="S16" i="2"/>
  <c r="S34" i="2"/>
  <c r="T13" i="2"/>
  <c r="T31" i="2" s="1"/>
  <c r="S28" i="2"/>
  <c r="S28" i="1"/>
  <c r="R25" i="1"/>
  <c r="R29" i="1"/>
  <c r="T26" i="1"/>
  <c r="T27" i="1"/>
  <c r="U13" i="2" l="1"/>
  <c r="U31" i="2" s="1"/>
  <c r="T34" i="2"/>
  <c r="U15" i="2"/>
  <c r="U33" i="2" s="1"/>
  <c r="T28" i="2"/>
  <c r="U12" i="2"/>
  <c r="U30" i="2" s="1"/>
  <c r="T16" i="2"/>
  <c r="U14" i="2"/>
  <c r="U32" i="2" s="1"/>
  <c r="T28" i="1"/>
  <c r="S29" i="1"/>
  <c r="S25" i="1"/>
  <c r="U27" i="1"/>
  <c r="U26" i="1"/>
  <c r="V15" i="2" l="1"/>
  <c r="V33" i="2" s="1"/>
  <c r="V12" i="2"/>
  <c r="V30" i="2" s="1"/>
  <c r="U16" i="2"/>
  <c r="V13" i="2"/>
  <c r="V31" i="2" s="1"/>
  <c r="V14" i="2"/>
  <c r="V32" i="2" s="1"/>
  <c r="U28" i="2"/>
  <c r="U28" i="1"/>
  <c r="T25" i="1"/>
  <c r="T29" i="1"/>
  <c r="V27" i="1"/>
  <c r="V26" i="1"/>
  <c r="V28" i="2" l="1"/>
  <c r="W28" i="2"/>
  <c r="W12" i="2"/>
  <c r="W30" i="2" s="1"/>
  <c r="V16" i="2"/>
  <c r="W14" i="2"/>
  <c r="W32" i="2" s="1"/>
  <c r="U34" i="2"/>
  <c r="W13" i="2"/>
  <c r="W31" i="2" s="1"/>
  <c r="V34" i="2"/>
  <c r="W15" i="2"/>
  <c r="W33" i="2" s="1"/>
  <c r="V28" i="1"/>
  <c r="U25" i="1"/>
  <c r="U29" i="1"/>
  <c r="W26" i="1"/>
  <c r="W27" i="1"/>
  <c r="W16" i="2" l="1"/>
  <c r="W34" i="2"/>
  <c r="W28" i="1"/>
  <c r="V29" i="1"/>
  <c r="V25" i="1"/>
  <c r="Y27" i="1"/>
  <c r="X27" i="1"/>
  <c r="Y26" i="1"/>
  <c r="X26" i="1"/>
  <c r="Y28" i="1" l="1"/>
  <c r="X28" i="1"/>
  <c r="W25" i="1"/>
  <c r="W29" i="1"/>
  <c r="Y29" i="1" l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<sst xmlns="http://schemas.openxmlformats.org/spreadsheetml/2006/main" count="294" uniqueCount="52">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</sst>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996656"/>
        <c:axId val="31399230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96656"/>
        <c:axId val="313992304"/>
      </c:lineChart>
      <c:catAx>
        <c:axId val="313996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2304"/>
        <c:crosses val="autoZero"/>
        <c:auto val="0"/>
        <c:lblAlgn val="ctr"/>
        <c:lblOffset val="100"/>
        <c:noMultiLvlLbl val="0"/>
      </c:catAx>
      <c:valAx>
        <c:axId val="31399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993392"/>
        <c:axId val="3139863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93392"/>
        <c:axId val="313986320"/>
      </c:lineChart>
      <c:catAx>
        <c:axId val="313993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86320"/>
        <c:crosses val="autoZero"/>
        <c:auto val="0"/>
        <c:lblAlgn val="ctr"/>
        <c:lblOffset val="100"/>
        <c:noMultiLvlLbl val="0"/>
      </c:catAx>
      <c:valAx>
        <c:axId val="313986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3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996112"/>
        <c:axId val="31399448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96112"/>
        <c:axId val="313994480"/>
      </c:lineChart>
      <c:catAx>
        <c:axId val="31399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4480"/>
        <c:crosses val="autoZero"/>
        <c:auto val="0"/>
        <c:lblAlgn val="ctr"/>
        <c:lblOffset val="100"/>
        <c:noMultiLvlLbl val="0"/>
      </c:catAx>
      <c:valAx>
        <c:axId val="3139944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995568"/>
        <c:axId val="31399774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95568"/>
        <c:axId val="313997744"/>
      </c:lineChart>
      <c:catAx>
        <c:axId val="31399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7744"/>
        <c:crosses val="autoZero"/>
        <c:auto val="0"/>
        <c:lblAlgn val="ctr"/>
        <c:lblOffset val="100"/>
        <c:noMultiLvlLbl val="0"/>
      </c:catAx>
      <c:valAx>
        <c:axId val="313997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95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3987408"/>
        <c:axId val="31398795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987408"/>
        <c:axId val="313987952"/>
      </c:lineChart>
      <c:catAx>
        <c:axId val="31398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87952"/>
        <c:crosses val="autoZero"/>
        <c:auto val="0"/>
        <c:lblAlgn val="ctr"/>
        <c:lblOffset val="100"/>
        <c:noMultiLvlLbl val="0"/>
      </c:catAx>
      <c:valAx>
        <c:axId val="313987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87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694448"/>
        <c:axId val="47579467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94448"/>
        <c:axId val="475794672"/>
      </c:lineChart>
      <c:catAx>
        <c:axId val="198694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4672"/>
        <c:crosses val="autoZero"/>
        <c:auto val="1"/>
        <c:lblAlgn val="ctr"/>
        <c:lblOffset val="100"/>
        <c:noMultiLvlLbl val="1"/>
      </c:catAx>
      <c:valAx>
        <c:axId val="4757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9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805008"/>
        <c:axId val="4757990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05008"/>
        <c:axId val="475799024"/>
      </c:lineChart>
      <c:catAx>
        <c:axId val="475805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9024"/>
        <c:crosses val="autoZero"/>
        <c:auto val="1"/>
        <c:lblAlgn val="ctr"/>
        <c:lblOffset val="100"/>
        <c:noMultiLvlLbl val="1"/>
      </c:catAx>
      <c:valAx>
        <c:axId val="475799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050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800656"/>
        <c:axId val="4757995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00656"/>
        <c:axId val="475799568"/>
      </c:lineChart>
      <c:catAx>
        <c:axId val="475800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9568"/>
        <c:crosses val="autoZero"/>
        <c:auto val="1"/>
        <c:lblAlgn val="ctr"/>
        <c:lblOffset val="100"/>
        <c:noMultiLvlLbl val="1"/>
      </c:catAx>
      <c:valAx>
        <c:axId val="4757995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006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801200"/>
        <c:axId val="4758060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01200"/>
        <c:axId val="475806096"/>
      </c:lineChart>
      <c:catAx>
        <c:axId val="475801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06096"/>
        <c:crosses val="autoZero"/>
        <c:auto val="1"/>
        <c:lblAlgn val="ctr"/>
        <c:lblOffset val="100"/>
        <c:noMultiLvlLbl val="1"/>
      </c:catAx>
      <c:valAx>
        <c:axId val="475806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01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793040"/>
        <c:axId val="47580392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793040"/>
        <c:axId val="475803920"/>
      </c:lineChart>
      <c:catAx>
        <c:axId val="475793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03920"/>
        <c:crosses val="autoZero"/>
        <c:auto val="1"/>
        <c:lblAlgn val="ctr"/>
        <c:lblOffset val="100"/>
        <c:noMultiLvlLbl val="1"/>
      </c:catAx>
      <c:valAx>
        <c:axId val="475803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3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804464"/>
        <c:axId val="47579576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04464"/>
        <c:axId val="475795760"/>
      </c:lineChart>
      <c:catAx>
        <c:axId val="4758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5760"/>
        <c:crosses val="autoZero"/>
        <c:auto val="0"/>
        <c:lblAlgn val="ctr"/>
        <c:lblOffset val="100"/>
        <c:noMultiLvlLbl val="1"/>
      </c:catAx>
      <c:valAx>
        <c:axId val="4757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791408"/>
        <c:axId val="47579684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791408"/>
        <c:axId val="475796848"/>
      </c:lineChart>
      <c:catAx>
        <c:axId val="47579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6848"/>
        <c:crosses val="autoZero"/>
        <c:auto val="1"/>
        <c:lblAlgn val="ctr"/>
        <c:lblOffset val="100"/>
        <c:noMultiLvlLbl val="1"/>
      </c:catAx>
      <c:valAx>
        <c:axId val="475796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1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5795216"/>
        <c:axId val="47579630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795216"/>
        <c:axId val="475796304"/>
      </c:lineChart>
      <c:catAx>
        <c:axId val="475795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6304"/>
        <c:crosses val="autoZero"/>
        <c:auto val="1"/>
        <c:lblAlgn val="ctr"/>
        <c:lblOffset val="100"/>
        <c:noMultiLvlLbl val="1"/>
      </c:catAx>
      <c:valAx>
        <c:axId val="47579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795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546272"/>
        <c:axId val="4775473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46272"/>
        <c:axId val="477547360"/>
      </c:lineChart>
      <c:catAx>
        <c:axId val="477546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7360"/>
        <c:crosses val="autoZero"/>
        <c:auto val="1"/>
        <c:lblAlgn val="ctr"/>
        <c:lblOffset val="100"/>
        <c:noMultiLvlLbl val="1"/>
      </c:catAx>
      <c:valAx>
        <c:axId val="477547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6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547904"/>
        <c:axId val="47755280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47904"/>
        <c:axId val="477552800"/>
      </c:lineChart>
      <c:catAx>
        <c:axId val="47754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52800"/>
        <c:crosses val="autoZero"/>
        <c:auto val="1"/>
        <c:lblAlgn val="ctr"/>
        <c:lblOffset val="100"/>
        <c:noMultiLvlLbl val="1"/>
      </c:catAx>
      <c:valAx>
        <c:axId val="477552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79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548992"/>
        <c:axId val="477558784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48992"/>
        <c:axId val="477558784"/>
      </c:lineChart>
      <c:catAx>
        <c:axId val="477548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58784"/>
        <c:crosses val="autoZero"/>
        <c:auto val="0"/>
        <c:lblAlgn val="ctr"/>
        <c:lblOffset val="100"/>
        <c:noMultiLvlLbl val="1"/>
      </c:catAx>
      <c:valAx>
        <c:axId val="47755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556608"/>
        <c:axId val="4775582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56608"/>
        <c:axId val="477558240"/>
      </c:lineChart>
      <c:catAx>
        <c:axId val="47755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58240"/>
        <c:crosses val="autoZero"/>
        <c:auto val="1"/>
        <c:lblAlgn val="ctr"/>
        <c:lblOffset val="100"/>
        <c:noMultiLvlLbl val="1"/>
      </c:catAx>
      <c:valAx>
        <c:axId val="477558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56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553344"/>
        <c:axId val="47755388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53344"/>
        <c:axId val="477553888"/>
      </c:lineChart>
      <c:catAx>
        <c:axId val="4775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53888"/>
        <c:crosses val="autoZero"/>
        <c:auto val="1"/>
        <c:lblAlgn val="ctr"/>
        <c:lblOffset val="100"/>
        <c:noMultiLvlLbl val="1"/>
      </c:catAx>
      <c:valAx>
        <c:axId val="4775538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53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545184"/>
        <c:axId val="47754409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45184"/>
        <c:axId val="477544096"/>
      </c:lineChart>
      <c:catAx>
        <c:axId val="47754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4096"/>
        <c:crosses val="autoZero"/>
        <c:auto val="1"/>
        <c:lblAlgn val="ctr"/>
        <c:lblOffset val="100"/>
        <c:noMultiLvlLbl val="1"/>
      </c:catAx>
      <c:valAx>
        <c:axId val="477544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5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7543552"/>
        <c:axId val="4775446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543552"/>
        <c:axId val="477544640"/>
      </c:lineChart>
      <c:catAx>
        <c:axId val="477543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4640"/>
        <c:crosses val="autoZero"/>
        <c:auto val="1"/>
        <c:lblAlgn val="ctr"/>
        <c:lblOffset val="100"/>
        <c:noMultiLvlLbl val="1"/>
      </c:catAx>
      <c:valAx>
        <c:axId val="477544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43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042320"/>
        <c:axId val="474035792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42320"/>
        <c:axId val="474035792"/>
      </c:lineChart>
      <c:catAx>
        <c:axId val="474042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35792"/>
        <c:crosses val="autoZero"/>
        <c:auto val="0"/>
        <c:lblAlgn val="ctr"/>
        <c:lblOffset val="100"/>
        <c:noMultiLvlLbl val="1"/>
      </c:catAx>
      <c:valAx>
        <c:axId val="4740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035248"/>
        <c:axId val="4740325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35248"/>
        <c:axId val="474032528"/>
      </c:lineChart>
      <c:catAx>
        <c:axId val="474035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32528"/>
        <c:crosses val="autoZero"/>
        <c:auto val="1"/>
        <c:lblAlgn val="ctr"/>
        <c:lblOffset val="100"/>
        <c:noMultiLvlLbl val="1"/>
      </c:catAx>
      <c:valAx>
        <c:axId val="4740325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35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038512"/>
        <c:axId val="47404504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38512"/>
        <c:axId val="474045040"/>
      </c:lineChart>
      <c:catAx>
        <c:axId val="474038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5040"/>
        <c:crosses val="autoZero"/>
        <c:auto val="1"/>
        <c:lblAlgn val="ctr"/>
        <c:lblOffset val="100"/>
        <c:noMultiLvlLbl val="1"/>
      </c:catAx>
      <c:valAx>
        <c:axId val="474045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38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047216"/>
        <c:axId val="47403198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47216"/>
        <c:axId val="474031984"/>
      </c:lineChart>
      <c:catAx>
        <c:axId val="47404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31984"/>
        <c:crosses val="autoZero"/>
        <c:auto val="1"/>
        <c:lblAlgn val="ctr"/>
        <c:lblOffset val="100"/>
        <c:noMultiLvlLbl val="1"/>
      </c:catAx>
      <c:valAx>
        <c:axId val="474031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7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042864"/>
        <c:axId val="47404014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42864"/>
        <c:axId val="474040144"/>
      </c:lineChart>
      <c:catAx>
        <c:axId val="474042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0144"/>
        <c:crosses val="autoZero"/>
        <c:auto val="1"/>
        <c:lblAlgn val="ctr"/>
        <c:lblOffset val="100"/>
        <c:noMultiLvlLbl val="1"/>
      </c:catAx>
      <c:valAx>
        <c:axId val="474040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2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040688"/>
        <c:axId val="474043408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40688"/>
        <c:axId val="474043408"/>
      </c:lineChart>
      <c:catAx>
        <c:axId val="474040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3408"/>
        <c:crosses val="autoZero"/>
        <c:auto val="0"/>
        <c:lblAlgn val="ctr"/>
        <c:lblOffset val="100"/>
        <c:noMultiLvlLbl val="1"/>
      </c:catAx>
      <c:valAx>
        <c:axId val="47404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044496"/>
        <c:axId val="47404558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044496"/>
        <c:axId val="474045584"/>
      </c:lineChart>
      <c:catAx>
        <c:axId val="47404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5584"/>
        <c:crosses val="autoZero"/>
        <c:auto val="1"/>
        <c:lblAlgn val="ctr"/>
        <c:lblOffset val="100"/>
        <c:noMultiLvlLbl val="1"/>
      </c:catAx>
      <c:valAx>
        <c:axId val="474045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0444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17584"/>
        <c:axId val="48133009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17584"/>
        <c:axId val="481330096"/>
      </c:lineChart>
      <c:catAx>
        <c:axId val="481317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30096"/>
        <c:crosses val="autoZero"/>
        <c:auto val="1"/>
        <c:lblAlgn val="ctr"/>
        <c:lblOffset val="100"/>
        <c:noMultiLvlLbl val="1"/>
      </c:catAx>
      <c:valAx>
        <c:axId val="481330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75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32272"/>
        <c:axId val="48131812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32272"/>
        <c:axId val="481318128"/>
      </c:lineChart>
      <c:catAx>
        <c:axId val="48133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8128"/>
        <c:crosses val="autoZero"/>
        <c:auto val="1"/>
        <c:lblAlgn val="ctr"/>
        <c:lblOffset val="100"/>
        <c:noMultiLvlLbl val="1"/>
      </c:catAx>
      <c:valAx>
        <c:axId val="4813181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32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17040"/>
        <c:axId val="48132574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17040"/>
        <c:axId val="481325744"/>
      </c:lineChart>
      <c:catAx>
        <c:axId val="48131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5744"/>
        <c:crosses val="autoZero"/>
        <c:auto val="1"/>
        <c:lblAlgn val="ctr"/>
        <c:lblOffset val="100"/>
        <c:noMultiLvlLbl val="1"/>
      </c:catAx>
      <c:valAx>
        <c:axId val="481325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7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26288"/>
        <c:axId val="481319216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26288"/>
        <c:axId val="481319216"/>
      </c:lineChart>
      <c:catAx>
        <c:axId val="481326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9216"/>
        <c:crosses val="autoZero"/>
        <c:auto val="0"/>
        <c:lblAlgn val="ctr"/>
        <c:lblOffset val="100"/>
        <c:noMultiLvlLbl val="1"/>
      </c:catAx>
      <c:valAx>
        <c:axId val="48131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27920"/>
        <c:axId val="48132356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27920"/>
        <c:axId val="481323568"/>
      </c:lineChart>
      <c:catAx>
        <c:axId val="4813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3568"/>
        <c:crosses val="autoZero"/>
        <c:auto val="1"/>
        <c:lblAlgn val="ctr"/>
        <c:lblOffset val="100"/>
        <c:noMultiLvlLbl val="1"/>
      </c:catAx>
      <c:valAx>
        <c:axId val="4813235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7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20304"/>
        <c:axId val="48132084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20304"/>
        <c:axId val="481320848"/>
      </c:lineChart>
      <c:catAx>
        <c:axId val="481320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0848"/>
        <c:crosses val="autoZero"/>
        <c:auto val="1"/>
        <c:lblAlgn val="ctr"/>
        <c:lblOffset val="100"/>
        <c:noMultiLvlLbl val="1"/>
      </c:catAx>
      <c:valAx>
        <c:axId val="481320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03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25200"/>
        <c:axId val="48132248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25200"/>
        <c:axId val="481322480"/>
      </c:lineChart>
      <c:catAx>
        <c:axId val="481325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2480"/>
        <c:crosses val="autoZero"/>
        <c:auto val="1"/>
        <c:lblAlgn val="ctr"/>
        <c:lblOffset val="100"/>
        <c:noMultiLvlLbl val="1"/>
      </c:catAx>
      <c:valAx>
        <c:axId val="4813224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5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328464"/>
        <c:axId val="48152776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28464"/>
        <c:axId val="481527760"/>
      </c:lineChart>
      <c:catAx>
        <c:axId val="481328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7760"/>
        <c:crosses val="autoZero"/>
        <c:auto val="1"/>
        <c:lblAlgn val="ctr"/>
        <c:lblOffset val="100"/>
        <c:noMultiLvlLbl val="1"/>
      </c:catAx>
      <c:valAx>
        <c:axId val="4815277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284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523408"/>
        <c:axId val="481531024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23408"/>
        <c:axId val="481531024"/>
      </c:lineChart>
      <c:catAx>
        <c:axId val="4815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1024"/>
        <c:crosses val="autoZero"/>
        <c:auto val="0"/>
        <c:lblAlgn val="ctr"/>
        <c:lblOffset val="100"/>
        <c:noMultiLvlLbl val="1"/>
      </c:catAx>
      <c:valAx>
        <c:axId val="4815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534832"/>
        <c:axId val="4815228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4832"/>
        <c:axId val="481522864"/>
      </c:lineChart>
      <c:catAx>
        <c:axId val="48153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2864"/>
        <c:crosses val="autoZero"/>
        <c:auto val="1"/>
        <c:lblAlgn val="ctr"/>
        <c:lblOffset val="100"/>
        <c:noMultiLvlLbl val="1"/>
      </c:catAx>
      <c:valAx>
        <c:axId val="4815228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48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524496"/>
        <c:axId val="48152939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24496"/>
        <c:axId val="481529392"/>
      </c:lineChart>
      <c:catAx>
        <c:axId val="48152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9392"/>
        <c:crosses val="autoZero"/>
        <c:auto val="1"/>
        <c:lblAlgn val="ctr"/>
        <c:lblOffset val="100"/>
        <c:noMultiLvlLbl val="1"/>
      </c:catAx>
      <c:valAx>
        <c:axId val="4815293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44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525040"/>
        <c:axId val="48152830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25040"/>
        <c:axId val="481528304"/>
      </c:lineChart>
      <c:catAx>
        <c:axId val="481525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8304"/>
        <c:crosses val="autoZero"/>
        <c:auto val="1"/>
        <c:lblAlgn val="ctr"/>
        <c:lblOffset val="100"/>
        <c:noMultiLvlLbl val="1"/>
      </c:catAx>
      <c:valAx>
        <c:axId val="481528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5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527216"/>
        <c:axId val="48153156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27216"/>
        <c:axId val="481531568"/>
      </c:lineChart>
      <c:catAx>
        <c:axId val="48152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1568"/>
        <c:crosses val="autoZero"/>
        <c:auto val="1"/>
        <c:lblAlgn val="ctr"/>
        <c:lblOffset val="100"/>
        <c:noMultiLvlLbl val="1"/>
      </c:catAx>
      <c:valAx>
        <c:axId val="4815315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27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533200"/>
        <c:axId val="481536464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3200"/>
        <c:axId val="481536464"/>
      </c:lineChart>
      <c:catAx>
        <c:axId val="48153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6464"/>
        <c:crosses val="autoZero"/>
        <c:auto val="0"/>
        <c:lblAlgn val="ctr"/>
        <c:lblOffset val="100"/>
        <c:noMultiLvlLbl val="1"/>
      </c:catAx>
      <c:valAx>
        <c:axId val="4815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533744"/>
        <c:axId val="4815342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33744"/>
        <c:axId val="481534288"/>
      </c:lineChart>
      <c:catAx>
        <c:axId val="48153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4288"/>
        <c:crosses val="autoZero"/>
        <c:auto val="1"/>
        <c:lblAlgn val="ctr"/>
        <c:lblOffset val="100"/>
        <c:noMultiLvlLbl val="1"/>
      </c:catAx>
      <c:valAx>
        <c:axId val="4815342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337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66384"/>
        <c:axId val="49858923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66384"/>
        <c:axId val="498589232"/>
      </c:lineChart>
      <c:catAx>
        <c:axId val="49856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9232"/>
        <c:crosses val="autoZero"/>
        <c:auto val="1"/>
        <c:lblAlgn val="ctr"/>
        <c:lblOffset val="100"/>
        <c:noMultiLvlLbl val="1"/>
      </c:catAx>
      <c:valAx>
        <c:axId val="498589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6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89776"/>
        <c:axId val="49857835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89776"/>
        <c:axId val="498578352"/>
      </c:lineChart>
      <c:catAx>
        <c:axId val="498589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8352"/>
        <c:crosses val="autoZero"/>
        <c:auto val="1"/>
        <c:lblAlgn val="ctr"/>
        <c:lblOffset val="100"/>
        <c:noMultiLvlLbl val="1"/>
      </c:catAx>
      <c:valAx>
        <c:axId val="498578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97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97392"/>
        <c:axId val="49859412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97392"/>
        <c:axId val="498594128"/>
      </c:lineChart>
      <c:catAx>
        <c:axId val="4985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4128"/>
        <c:crosses val="autoZero"/>
        <c:auto val="1"/>
        <c:lblAlgn val="ctr"/>
        <c:lblOffset val="100"/>
        <c:noMultiLvlLbl val="1"/>
      </c:catAx>
      <c:valAx>
        <c:axId val="4985941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7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90864"/>
        <c:axId val="498578896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90864"/>
        <c:axId val="498578896"/>
      </c:lineChart>
      <c:catAx>
        <c:axId val="49859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8896"/>
        <c:crosses val="autoZero"/>
        <c:auto val="0"/>
        <c:lblAlgn val="ctr"/>
        <c:lblOffset val="100"/>
        <c:noMultiLvlLbl val="1"/>
      </c:catAx>
      <c:valAx>
        <c:axId val="49857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77264"/>
        <c:axId val="49856584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77264"/>
        <c:axId val="498565840"/>
      </c:lineChart>
      <c:catAx>
        <c:axId val="498577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5840"/>
        <c:crosses val="autoZero"/>
        <c:auto val="1"/>
        <c:lblAlgn val="ctr"/>
        <c:lblOffset val="100"/>
        <c:noMultiLvlLbl val="1"/>
      </c:catAx>
      <c:valAx>
        <c:axId val="498565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72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91408"/>
        <c:axId val="49859032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91408"/>
        <c:axId val="498590320"/>
      </c:lineChart>
      <c:catAx>
        <c:axId val="49859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0320"/>
        <c:crosses val="autoZero"/>
        <c:auto val="1"/>
        <c:lblAlgn val="ctr"/>
        <c:lblOffset val="100"/>
        <c:noMultiLvlLbl val="1"/>
      </c:catAx>
      <c:valAx>
        <c:axId val="498590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1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76720"/>
        <c:axId val="49856856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76720"/>
        <c:axId val="498568560"/>
      </c:lineChart>
      <c:catAx>
        <c:axId val="498576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8560"/>
        <c:crosses val="autoZero"/>
        <c:auto val="1"/>
        <c:lblAlgn val="ctr"/>
        <c:lblOffset val="100"/>
        <c:noMultiLvlLbl val="1"/>
      </c:catAx>
      <c:valAx>
        <c:axId val="498568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67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85968"/>
        <c:axId val="49856910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85968"/>
        <c:axId val="498569104"/>
      </c:lineChart>
      <c:catAx>
        <c:axId val="498585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9104"/>
        <c:crosses val="autoZero"/>
        <c:auto val="1"/>
        <c:lblAlgn val="ctr"/>
        <c:lblOffset val="100"/>
        <c:noMultiLvlLbl val="1"/>
      </c:catAx>
      <c:valAx>
        <c:axId val="498569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5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74544"/>
        <c:axId val="498586512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74544"/>
        <c:axId val="498586512"/>
      </c:lineChart>
      <c:catAx>
        <c:axId val="498574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6512"/>
        <c:crosses val="autoZero"/>
        <c:auto val="0"/>
        <c:lblAlgn val="ctr"/>
        <c:lblOffset val="100"/>
        <c:noMultiLvlLbl val="1"/>
      </c:catAx>
      <c:valAx>
        <c:axId val="49858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88144"/>
        <c:axId val="49859684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88144"/>
        <c:axId val="498596848"/>
      </c:lineChart>
      <c:catAx>
        <c:axId val="498588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6848"/>
        <c:crosses val="autoZero"/>
        <c:auto val="1"/>
        <c:lblAlgn val="ctr"/>
        <c:lblOffset val="100"/>
        <c:noMultiLvlLbl val="1"/>
      </c:catAx>
      <c:valAx>
        <c:axId val="498596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8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81072"/>
        <c:axId val="49859467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81072"/>
        <c:axId val="498594672"/>
      </c:lineChart>
      <c:catAx>
        <c:axId val="49858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4672"/>
        <c:crosses val="autoZero"/>
        <c:auto val="1"/>
        <c:lblAlgn val="ctr"/>
        <c:lblOffset val="100"/>
        <c:noMultiLvlLbl val="1"/>
      </c:catAx>
      <c:valAx>
        <c:axId val="498594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10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95216"/>
        <c:axId val="49858868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95216"/>
        <c:axId val="498588688"/>
      </c:lineChart>
      <c:catAx>
        <c:axId val="498595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8688"/>
        <c:crosses val="autoZero"/>
        <c:auto val="1"/>
        <c:lblAlgn val="ctr"/>
        <c:lblOffset val="100"/>
        <c:noMultiLvlLbl val="1"/>
      </c:catAx>
      <c:valAx>
        <c:axId val="4985886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95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69648"/>
        <c:axId val="49858161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69648"/>
        <c:axId val="498581616"/>
      </c:lineChart>
      <c:catAx>
        <c:axId val="498569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1616"/>
        <c:crosses val="autoZero"/>
        <c:auto val="1"/>
        <c:lblAlgn val="ctr"/>
        <c:lblOffset val="100"/>
        <c:noMultiLvlLbl val="1"/>
      </c:catAx>
      <c:valAx>
        <c:axId val="4985816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9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73456"/>
        <c:axId val="498577808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73456"/>
        <c:axId val="498577808"/>
      </c:lineChart>
      <c:catAx>
        <c:axId val="498573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7808"/>
        <c:crosses val="autoZero"/>
        <c:auto val="0"/>
        <c:lblAlgn val="ctr"/>
        <c:lblOffset val="100"/>
        <c:noMultiLvlLbl val="1"/>
      </c:catAx>
      <c:valAx>
        <c:axId val="49857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8583248"/>
        <c:axId val="49858488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83248"/>
        <c:axId val="498584880"/>
      </c:lineChart>
      <c:catAx>
        <c:axId val="498583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4880"/>
        <c:crosses val="autoZero"/>
        <c:auto val="1"/>
        <c:lblAlgn val="ctr"/>
        <c:lblOffset val="100"/>
        <c:noMultiLvlLbl val="1"/>
      </c:catAx>
      <c:valAx>
        <c:axId val="498584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83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0006544"/>
        <c:axId val="50000763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06544"/>
        <c:axId val="500007632"/>
      </c:lineChart>
      <c:catAx>
        <c:axId val="500006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07632"/>
        <c:crosses val="autoZero"/>
        <c:auto val="1"/>
        <c:lblAlgn val="ctr"/>
        <c:lblOffset val="100"/>
        <c:noMultiLvlLbl val="1"/>
      </c:catAx>
      <c:valAx>
        <c:axId val="500007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06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0015248"/>
        <c:axId val="50000817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15248"/>
        <c:axId val="500008176"/>
      </c:lineChart>
      <c:catAx>
        <c:axId val="500015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08176"/>
        <c:crosses val="autoZero"/>
        <c:auto val="1"/>
        <c:lblAlgn val="ctr"/>
        <c:lblOffset val="100"/>
        <c:noMultiLvlLbl val="1"/>
      </c:catAx>
      <c:valAx>
        <c:axId val="500008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152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0021776"/>
        <c:axId val="49999566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021776"/>
        <c:axId val="499995664"/>
      </c:lineChart>
      <c:catAx>
        <c:axId val="500021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995664"/>
        <c:crosses val="autoZero"/>
        <c:auto val="1"/>
        <c:lblAlgn val="ctr"/>
        <c:lblOffset val="100"/>
        <c:noMultiLvlLbl val="1"/>
      </c:catAx>
      <c:valAx>
        <c:axId val="499995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0217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B1" workbookViewId="0">
      <selection activeCell="N41" sqref="N41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0" t="s">
        <v>24</v>
      </c>
      <c r="D1" s="71"/>
      <c r="E1" s="71"/>
      <c r="F1" s="71"/>
      <c r="G1" s="71"/>
      <c r="H1" s="71"/>
      <c r="I1" s="71"/>
      <c r="J1" s="71"/>
      <c r="K1" s="71"/>
      <c r="L1" s="71"/>
      <c r="M1" s="71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8" t="s">
        <v>22</v>
      </c>
      <c r="D3" s="79"/>
      <c r="E3" s="79"/>
      <c r="F3" s="79"/>
      <c r="G3" s="79"/>
      <c r="H3" s="79"/>
      <c r="I3" s="79"/>
      <c r="J3" s="79"/>
      <c r="K3" s="79"/>
      <c r="L3" s="79"/>
      <c r="M3" s="79"/>
      <c r="N3" s="79" t="s">
        <v>23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80"/>
    </row>
    <row r="4" spans="1:25" ht="15.75" x14ac:dyDescent="0.25">
      <c r="C4" s="75" t="s">
        <v>12</v>
      </c>
      <c r="D4" s="75"/>
      <c r="E4" s="75"/>
      <c r="F4" s="75" t="s">
        <v>11</v>
      </c>
      <c r="G4" s="75"/>
      <c r="H4" s="75" t="s">
        <v>13</v>
      </c>
      <c r="I4" s="75"/>
      <c r="J4" s="75" t="s">
        <v>14</v>
      </c>
      <c r="K4" s="75"/>
      <c r="L4" s="72" t="s">
        <v>15</v>
      </c>
      <c r="M4" s="73"/>
      <c r="N4" s="73" t="s">
        <v>16</v>
      </c>
      <c r="O4" s="74"/>
      <c r="P4" s="75" t="s">
        <v>17</v>
      </c>
      <c r="Q4" s="75"/>
      <c r="R4" s="75" t="s">
        <v>18</v>
      </c>
      <c r="S4" s="75"/>
      <c r="T4" s="75" t="s">
        <v>19</v>
      </c>
      <c r="U4" s="75"/>
      <c r="V4" s="75" t="s">
        <v>20</v>
      </c>
      <c r="W4" s="75"/>
      <c r="X4" s="75" t="s">
        <v>21</v>
      </c>
      <c r="Y4" s="75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6" t="s">
        <v>44</v>
      </c>
      <c r="B7" s="8" t="str">
        <f xml:space="preserve"> CONCATENATE(Setup!$B$7, ", ", LEFT(Setup!$C$7,2))</f>
        <v>Nathan, NR</v>
      </c>
      <c r="C7" s="25">
        <f>SUM('Sprint 0'!C6:I6)</f>
        <v>0</v>
      </c>
      <c r="D7" s="25">
        <f>SUM('Sprint 0'!J6:P6)</f>
        <v>0</v>
      </c>
      <c r="E7" s="25">
        <f>SUM('Sprint 0'!Q6:W6)</f>
        <v>0</v>
      </c>
      <c r="F7" s="25">
        <f>SUM('Sprint 1'!C6:I6)</f>
        <v>0</v>
      </c>
      <c r="G7" s="25">
        <f>SUM('Sprint 1'!J6:P6)</f>
        <v>0</v>
      </c>
      <c r="H7" s="25">
        <f>SUM('Sprint 2'!C6:I6)</f>
        <v>0</v>
      </c>
      <c r="I7" s="25">
        <f>SUM('Sprint 2'!J6:P6)</f>
        <v>0</v>
      </c>
      <c r="J7" s="25">
        <f>SUM('Sprint 3'!C6:I6)</f>
        <v>0</v>
      </c>
      <c r="K7" s="25">
        <f>SUM('Sprint 3'!J6:P6)</f>
        <v>0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6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</v>
      </c>
      <c r="E8" s="25">
        <f>SUM('Sprint 0'!Q7:W7)</f>
        <v>0</v>
      </c>
      <c r="F8" s="25">
        <f>'Sprint 1'!C26</f>
        <v>0</v>
      </c>
      <c r="G8" s="25">
        <f>SUM('Sprint 1'!J7:P7)</f>
        <v>0</v>
      </c>
      <c r="H8" s="25">
        <f>SUM('Sprint 2'!C7:I7)</f>
        <v>0</v>
      </c>
      <c r="I8" s="25">
        <f>SUM('Sprint 2'!J7:P7)</f>
        <v>0</v>
      </c>
      <c r="J8" s="25">
        <f>SUM('Sprint 3'!C7:I7)</f>
        <v>0</v>
      </c>
      <c r="K8" s="25">
        <f>SUM('Sprint 3'!J7:P7)</f>
        <v>0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6"/>
      <c r="B9" s="8" t="str">
        <f xml:space="preserve"> CONCATENATE(Setup!$B$9, ", ", LEFT(Setup!$C$9,2))</f>
        <v>Dylan, DW</v>
      </c>
      <c r="C9" s="25">
        <f>SUM('Sprint 0'!C8:I8)</f>
        <v>0</v>
      </c>
      <c r="D9" s="25">
        <f>SUM('Sprint 0'!J8:P8)</f>
        <v>0</v>
      </c>
      <c r="E9" s="25">
        <f>SUM('Sprint 0'!Q8:W8)</f>
        <v>0</v>
      </c>
      <c r="F9" s="25">
        <f>'Sprint 1'!C27</f>
        <v>0</v>
      </c>
      <c r="G9" s="25">
        <f>SUM('Sprint 1'!J8:P8)</f>
        <v>0</v>
      </c>
      <c r="H9" s="25">
        <f>SUM('Sprint 2'!C8:I8)</f>
        <v>0</v>
      </c>
      <c r="I9" s="25">
        <f>SUM('Sprint 2'!J8:P8)</f>
        <v>0</v>
      </c>
      <c r="J9" s="25">
        <f>SUM('Sprint 3'!C8:I8)</f>
        <v>0</v>
      </c>
      <c r="K9" s="25">
        <f>SUM('Sprint 3'!J8:P8)</f>
        <v>0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6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'Sprint 1'!C28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6"/>
      <c r="B11" s="9" t="s">
        <v>30</v>
      </c>
      <c r="C11" s="21">
        <f xml:space="preserve"> SUM(C7:C10)</f>
        <v>0</v>
      </c>
      <c r="D11" s="21">
        <f t="shared" ref="D11:M11" si="2" xml:space="preserve"> SUM(D7:D10)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 x14ac:dyDescent="0.25">
      <c r="A12" s="6"/>
      <c r="M12" s="49"/>
      <c r="N12" s="50"/>
    </row>
    <row r="13" spans="1:25" x14ac:dyDescent="0.25">
      <c r="A13" s="76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0</v>
      </c>
      <c r="E13" s="25">
        <f>SUM('Sprint 0'!Q18:W18)</f>
        <v>0</v>
      </c>
      <c r="F13" s="25">
        <f>SUM('Sprint 1'!C18:I18)</f>
        <v>0</v>
      </c>
      <c r="G13" s="25">
        <f>SUM('Sprint 1'!J18:P18)</f>
        <v>0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6"/>
      <c r="B14" s="8" t="str">
        <f xml:space="preserve"> CONCATENATE(Setup!$B$8, ", ", LEFT(Setup!$C$8,2))</f>
        <v>Spencer, SS</v>
      </c>
      <c r="C14" s="25">
        <f>SUM('Sprint 0'!C19:I19)</f>
        <v>0</v>
      </c>
      <c r="D14" s="25">
        <f>SUM('Sprint 0'!J19:P19)</f>
        <v>0</v>
      </c>
      <c r="E14" s="25">
        <f>SUM('Sprint 0'!Q19:W19)</f>
        <v>0</v>
      </c>
      <c r="F14" s="25">
        <f>SUM('Sprint 1'!C19:I19)</f>
        <v>0</v>
      </c>
      <c r="G14" s="25">
        <f>SUM('Sprint 1'!J19:P19)</f>
        <v>0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6"/>
      <c r="B15" s="8" t="str">
        <f xml:space="preserve"> CONCATENATE(Setup!$B$9, ", ", LEFT(Setup!$C$9,2))</f>
        <v>Dylan, DW</v>
      </c>
      <c r="C15" s="25">
        <f>SUM('Sprint 0'!C20:I20)</f>
        <v>0</v>
      </c>
      <c r="D15" s="25">
        <f>SUM('Sprint 0'!J20:P20)</f>
        <v>0</v>
      </c>
      <c r="E15" s="25">
        <f>SUM('Sprint 0'!Q20:W20)</f>
        <v>0</v>
      </c>
      <c r="F15" s="25">
        <f>SUM('Sprint 1'!C20:I20)</f>
        <v>0</v>
      </c>
      <c r="G15" s="25">
        <f>SUM('Sprint 1'!J20:P20)</f>
        <v>0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6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6"/>
      <c r="B17" s="9" t="s">
        <v>30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0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 x14ac:dyDescent="0.25">
      <c r="M18" s="49"/>
      <c r="N18" s="50"/>
    </row>
    <row r="19" spans="1:25" x14ac:dyDescent="0.25">
      <c r="A19" s="77" t="s">
        <v>39</v>
      </c>
      <c r="B19" s="8" t="str">
        <f xml:space="preserve"> CONCATENATE(Setup!$B$7, ", ", LEFT(Setup!$C$7,2))</f>
        <v>Nathan, NR</v>
      </c>
      <c r="C19" s="25">
        <f xml:space="preserve"> C7 + C13</f>
        <v>0</v>
      </c>
      <c r="D19" s="25">
        <f xml:space="preserve"> C19 + D7 + D14</f>
        <v>0</v>
      </c>
      <c r="E19" s="25">
        <f t="shared" ref="E19:Y22" si="25" xml:space="preserve"> D19 + E7 + E14</f>
        <v>0</v>
      </c>
      <c r="F19" s="25">
        <f t="shared" si="25"/>
        <v>0</v>
      </c>
      <c r="G19" s="25">
        <f t="shared" si="25"/>
        <v>0</v>
      </c>
      <c r="H19" s="25">
        <f t="shared" si="25"/>
        <v>0</v>
      </c>
      <c r="I19" s="25">
        <f t="shared" si="25"/>
        <v>0</v>
      </c>
      <c r="J19" s="25">
        <f t="shared" si="25"/>
        <v>0</v>
      </c>
      <c r="K19" s="25">
        <f t="shared" si="25"/>
        <v>0</v>
      </c>
      <c r="L19" s="25">
        <f t="shared" si="25"/>
        <v>0</v>
      </c>
      <c r="M19" s="45">
        <f t="shared" si="25"/>
        <v>0</v>
      </c>
      <c r="N19" s="46">
        <f t="shared" si="25"/>
        <v>0</v>
      </c>
      <c r="O19" s="25">
        <f t="shared" si="25"/>
        <v>0</v>
      </c>
      <c r="P19" s="25">
        <f t="shared" si="25"/>
        <v>0</v>
      </c>
      <c r="Q19" s="25">
        <f t="shared" si="25"/>
        <v>0</v>
      </c>
      <c r="R19" s="25">
        <f t="shared" si="25"/>
        <v>0</v>
      </c>
      <c r="S19" s="25">
        <f t="shared" si="25"/>
        <v>0</v>
      </c>
      <c r="T19" s="25">
        <f t="shared" si="25"/>
        <v>0</v>
      </c>
      <c r="U19" s="25">
        <f t="shared" si="25"/>
        <v>0</v>
      </c>
      <c r="V19" s="25">
        <f t="shared" si="25"/>
        <v>0</v>
      </c>
      <c r="W19" s="25">
        <f t="shared" si="25"/>
        <v>0</v>
      </c>
      <c r="X19" s="25">
        <f t="shared" si="25"/>
        <v>0</v>
      </c>
      <c r="Y19" s="25">
        <f t="shared" si="25"/>
        <v>0</v>
      </c>
    </row>
    <row r="20" spans="1:25" x14ac:dyDescent="0.25">
      <c r="A20" s="77"/>
      <c r="B20" s="8" t="str">
        <f xml:space="preserve"> CONCATENATE(Setup!$B$8, ", ", LEFT(Setup!$C$8,2))</f>
        <v>Spencer, SS</v>
      </c>
      <c r="C20" s="25">
        <f t="shared" ref="C20:C22" si="26" xml:space="preserve"> C8 + C14</f>
        <v>0</v>
      </c>
      <c r="D20" s="25">
        <f t="shared" ref="D20:S22" si="27" xml:space="preserve"> C20 + D8 + D15</f>
        <v>0</v>
      </c>
      <c r="E20" s="25">
        <f t="shared" si="27"/>
        <v>0</v>
      </c>
      <c r="F20" s="25">
        <f t="shared" si="27"/>
        <v>0</v>
      </c>
      <c r="G20" s="25">
        <f t="shared" si="27"/>
        <v>0</v>
      </c>
      <c r="H20" s="25">
        <f t="shared" si="27"/>
        <v>0</v>
      </c>
      <c r="I20" s="25">
        <f t="shared" si="27"/>
        <v>0</v>
      </c>
      <c r="J20" s="25">
        <f t="shared" si="27"/>
        <v>0</v>
      </c>
      <c r="K20" s="25">
        <f t="shared" si="27"/>
        <v>0</v>
      </c>
      <c r="L20" s="25">
        <f t="shared" si="27"/>
        <v>0</v>
      </c>
      <c r="M20" s="45">
        <f t="shared" si="27"/>
        <v>0</v>
      </c>
      <c r="N20" s="46">
        <f t="shared" si="27"/>
        <v>0</v>
      </c>
      <c r="O20" s="25">
        <f t="shared" si="27"/>
        <v>0</v>
      </c>
      <c r="P20" s="25">
        <f t="shared" si="27"/>
        <v>0</v>
      </c>
      <c r="Q20" s="25">
        <f t="shared" si="27"/>
        <v>0</v>
      </c>
      <c r="R20" s="25">
        <f t="shared" si="27"/>
        <v>0</v>
      </c>
      <c r="S20" s="25">
        <f t="shared" si="27"/>
        <v>0</v>
      </c>
      <c r="T20" s="25">
        <f t="shared" si="25"/>
        <v>0</v>
      </c>
      <c r="U20" s="25">
        <f t="shared" si="25"/>
        <v>0</v>
      </c>
      <c r="V20" s="25">
        <f t="shared" si="25"/>
        <v>0</v>
      </c>
      <c r="W20" s="25">
        <f t="shared" si="25"/>
        <v>0</v>
      </c>
      <c r="X20" s="25">
        <f t="shared" si="25"/>
        <v>0</v>
      </c>
      <c r="Y20" s="25">
        <f t="shared" si="25"/>
        <v>0</v>
      </c>
    </row>
    <row r="21" spans="1:25" x14ac:dyDescent="0.25">
      <c r="A21" s="77"/>
      <c r="B21" s="8" t="str">
        <f xml:space="preserve"> CONCATENATE(Setup!$B$9, ", ", LEFT(Setup!$C$9,2))</f>
        <v>Dylan, DW</v>
      </c>
      <c r="C21" s="25">
        <f t="shared" si="26"/>
        <v>0</v>
      </c>
      <c r="D21" s="25">
        <f t="shared" si="27"/>
        <v>0</v>
      </c>
      <c r="E21" s="25">
        <f t="shared" si="25"/>
        <v>0</v>
      </c>
      <c r="F21" s="25">
        <f t="shared" si="25"/>
        <v>0</v>
      </c>
      <c r="G21" s="25">
        <f t="shared" si="25"/>
        <v>0</v>
      </c>
      <c r="H21" s="25">
        <f t="shared" si="25"/>
        <v>0</v>
      </c>
      <c r="I21" s="25">
        <f t="shared" si="25"/>
        <v>0</v>
      </c>
      <c r="J21" s="25">
        <f t="shared" si="25"/>
        <v>0</v>
      </c>
      <c r="K21" s="25">
        <f t="shared" si="25"/>
        <v>0</v>
      </c>
      <c r="L21" s="25">
        <f t="shared" si="25"/>
        <v>0</v>
      </c>
      <c r="M21" s="45">
        <f t="shared" si="25"/>
        <v>0</v>
      </c>
      <c r="N21" s="46">
        <f t="shared" si="25"/>
        <v>0</v>
      </c>
      <c r="O21" s="25">
        <f t="shared" si="25"/>
        <v>0</v>
      </c>
      <c r="P21" s="25">
        <f t="shared" si="25"/>
        <v>0</v>
      </c>
      <c r="Q21" s="25">
        <f t="shared" si="25"/>
        <v>0</v>
      </c>
      <c r="R21" s="25">
        <f t="shared" si="25"/>
        <v>0</v>
      </c>
      <c r="S21" s="25">
        <f t="shared" si="25"/>
        <v>0</v>
      </c>
      <c r="T21" s="25">
        <f t="shared" si="25"/>
        <v>0</v>
      </c>
      <c r="U21" s="25">
        <f t="shared" si="25"/>
        <v>0</v>
      </c>
      <c r="V21" s="25">
        <f t="shared" si="25"/>
        <v>0</v>
      </c>
      <c r="W21" s="25">
        <f t="shared" si="25"/>
        <v>0</v>
      </c>
      <c r="X21" s="25">
        <f t="shared" si="25"/>
        <v>0</v>
      </c>
      <c r="Y21" s="25">
        <f t="shared" si="25"/>
        <v>0</v>
      </c>
    </row>
    <row r="22" spans="1:25" x14ac:dyDescent="0.25">
      <c r="A22" s="77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0</v>
      </c>
      <c r="E22" s="25">
        <f t="shared" si="25"/>
        <v>0</v>
      </c>
      <c r="F22" s="25">
        <f t="shared" si="25"/>
        <v>0</v>
      </c>
      <c r="G22" s="25">
        <f t="shared" si="25"/>
        <v>0</v>
      </c>
      <c r="H22" s="25">
        <f t="shared" si="25"/>
        <v>0</v>
      </c>
      <c r="I22" s="25">
        <f t="shared" si="25"/>
        <v>0</v>
      </c>
      <c r="J22" s="25">
        <f t="shared" si="25"/>
        <v>0</v>
      </c>
      <c r="K22" s="25">
        <f t="shared" si="25"/>
        <v>0</v>
      </c>
      <c r="L22" s="25">
        <f t="shared" si="25"/>
        <v>0</v>
      </c>
      <c r="M22" s="45">
        <f t="shared" si="25"/>
        <v>0</v>
      </c>
      <c r="N22" s="46">
        <f t="shared" si="25"/>
        <v>0</v>
      </c>
      <c r="O22" s="25">
        <f t="shared" si="25"/>
        <v>0</v>
      </c>
      <c r="P22" s="25">
        <f t="shared" si="25"/>
        <v>0</v>
      </c>
      <c r="Q22" s="25">
        <f t="shared" si="25"/>
        <v>0</v>
      </c>
      <c r="R22" s="25">
        <f t="shared" si="25"/>
        <v>0</v>
      </c>
      <c r="S22" s="25">
        <f t="shared" si="25"/>
        <v>0</v>
      </c>
      <c r="T22" s="25">
        <f t="shared" si="25"/>
        <v>0</v>
      </c>
      <c r="U22" s="25">
        <f t="shared" si="25"/>
        <v>0</v>
      </c>
      <c r="V22" s="25">
        <f t="shared" si="25"/>
        <v>0</v>
      </c>
      <c r="W22" s="25">
        <f t="shared" si="25"/>
        <v>0</v>
      </c>
      <c r="X22" s="25">
        <f t="shared" si="25"/>
        <v>0</v>
      </c>
      <c r="Y22" s="25">
        <f t="shared" si="25"/>
        <v>0</v>
      </c>
    </row>
    <row r="23" spans="1:25" ht="15.75" x14ac:dyDescent="0.25">
      <c r="A23" s="77"/>
      <c r="B23" s="9" t="s">
        <v>30</v>
      </c>
      <c r="C23" s="21">
        <f xml:space="preserve"> C11 + C17</f>
        <v>0</v>
      </c>
      <c r="D23" s="21">
        <f xml:space="preserve"> C23 + D11 + D17</f>
        <v>0</v>
      </c>
      <c r="E23" s="21">
        <f t="shared" ref="E23:Y23" si="28" xml:space="preserve"> D23 + E11 + E17</f>
        <v>0</v>
      </c>
      <c r="F23" s="21">
        <f t="shared" si="28"/>
        <v>0</v>
      </c>
      <c r="G23" s="21">
        <f t="shared" si="28"/>
        <v>0</v>
      </c>
      <c r="H23" s="21">
        <f t="shared" si="28"/>
        <v>0</v>
      </c>
      <c r="I23" s="21">
        <f t="shared" si="28"/>
        <v>0</v>
      </c>
      <c r="J23" s="21">
        <f t="shared" si="28"/>
        <v>0</v>
      </c>
      <c r="K23" s="21">
        <f t="shared" si="28"/>
        <v>0</v>
      </c>
      <c r="L23" s="21">
        <f t="shared" si="28"/>
        <v>0</v>
      </c>
      <c r="M23" s="47">
        <f t="shared" si="28"/>
        <v>0</v>
      </c>
      <c r="N23" s="48">
        <f t="shared" si="28"/>
        <v>0</v>
      </c>
      <c r="O23" s="21">
        <f t="shared" si="28"/>
        <v>0</v>
      </c>
      <c r="P23" s="21">
        <f t="shared" si="28"/>
        <v>0</v>
      </c>
      <c r="Q23" s="21">
        <f t="shared" si="28"/>
        <v>0</v>
      </c>
      <c r="R23" s="21">
        <f t="shared" si="28"/>
        <v>0</v>
      </c>
      <c r="S23" s="21">
        <f t="shared" si="28"/>
        <v>0</v>
      </c>
      <c r="T23" s="21">
        <f t="shared" si="28"/>
        <v>0</v>
      </c>
      <c r="U23" s="21">
        <f t="shared" si="28"/>
        <v>0</v>
      </c>
      <c r="V23" s="21">
        <f t="shared" si="28"/>
        <v>0</v>
      </c>
      <c r="W23" s="21">
        <f t="shared" si="28"/>
        <v>0</v>
      </c>
      <c r="X23" s="21">
        <f t="shared" si="28"/>
        <v>0</v>
      </c>
      <c r="Y23" s="21">
        <f t="shared" si="28"/>
        <v>0</v>
      </c>
    </row>
    <row r="24" spans="1:25" ht="15.75" x14ac:dyDescent="0.25">
      <c r="A24" s="19"/>
      <c r="B24" s="20"/>
      <c r="M24" s="49"/>
      <c r="N24" s="50"/>
    </row>
    <row r="25" spans="1:25" x14ac:dyDescent="0.25">
      <c r="A25" s="77" t="s">
        <v>8</v>
      </c>
      <c r="B25" s="8" t="str">
        <f xml:space="preserve"> CONCATENATE(Setup!$B$7, ", ", LEFT(Setup!$C$7,2))</f>
        <v>Nathan, NR</v>
      </c>
      <c r="C25" s="29">
        <f xml:space="preserve"> C19 / C$6</f>
        <v>0</v>
      </c>
      <c r="D25" s="29">
        <f t="shared" ref="D25:E25" si="29" xml:space="preserve"> D19 / D$6</f>
        <v>0</v>
      </c>
      <c r="E25" s="29">
        <f t="shared" si="29"/>
        <v>0</v>
      </c>
      <c r="F25" s="29">
        <f t="shared" ref="F25:Y25" si="30" xml:space="preserve"> F19 / F$6</f>
        <v>0</v>
      </c>
      <c r="G25" s="29">
        <f t="shared" si="30"/>
        <v>0</v>
      </c>
      <c r="H25" s="29">
        <f t="shared" si="30"/>
        <v>0</v>
      </c>
      <c r="I25" s="29">
        <f t="shared" si="30"/>
        <v>0</v>
      </c>
      <c r="J25" s="29">
        <f t="shared" si="30"/>
        <v>0</v>
      </c>
      <c r="K25" s="29">
        <f t="shared" si="30"/>
        <v>0</v>
      </c>
      <c r="L25" s="29">
        <f t="shared" si="30"/>
        <v>0</v>
      </c>
      <c r="M25" s="51">
        <f t="shared" si="30"/>
        <v>0</v>
      </c>
      <c r="N25" s="52">
        <f t="shared" si="30"/>
        <v>0</v>
      </c>
      <c r="O25" s="29">
        <f t="shared" si="30"/>
        <v>0</v>
      </c>
      <c r="P25" s="29">
        <f t="shared" si="30"/>
        <v>0</v>
      </c>
      <c r="Q25" s="29">
        <f t="shared" si="30"/>
        <v>0</v>
      </c>
      <c r="R25" s="29">
        <f t="shared" si="30"/>
        <v>0</v>
      </c>
      <c r="S25" s="29">
        <f t="shared" si="30"/>
        <v>0</v>
      </c>
      <c r="T25" s="29">
        <f t="shared" si="30"/>
        <v>0</v>
      </c>
      <c r="U25" s="29">
        <f t="shared" si="30"/>
        <v>0</v>
      </c>
      <c r="V25" s="29">
        <f t="shared" si="30"/>
        <v>0</v>
      </c>
      <c r="W25" s="29">
        <f t="shared" si="30"/>
        <v>0</v>
      </c>
      <c r="X25" s="29">
        <f t="shared" si="30"/>
        <v>0</v>
      </c>
      <c r="Y25" s="29">
        <f t="shared" si="30"/>
        <v>0</v>
      </c>
    </row>
    <row r="26" spans="1:25" x14ac:dyDescent="0.25">
      <c r="A26" s="77"/>
      <c r="B26" s="8" t="str">
        <f xml:space="preserve"> CONCATENATE(Setup!$B$8, ", ", LEFT(Setup!$C$8,2))</f>
        <v>Spencer, SS</v>
      </c>
      <c r="C26" s="29">
        <f t="shared" ref="C26:E29" si="31" xml:space="preserve"> C20 / C$6</f>
        <v>0</v>
      </c>
      <c r="D26" s="29">
        <f t="shared" si="31"/>
        <v>0</v>
      </c>
      <c r="E26" s="29">
        <f t="shared" si="31"/>
        <v>0</v>
      </c>
      <c r="F26" s="29">
        <f t="shared" ref="F26:Y26" si="32" xml:space="preserve"> F20 / F$6</f>
        <v>0</v>
      </c>
      <c r="G26" s="29">
        <f t="shared" si="32"/>
        <v>0</v>
      </c>
      <c r="H26" s="29">
        <f t="shared" si="32"/>
        <v>0</v>
      </c>
      <c r="I26" s="29">
        <f t="shared" si="32"/>
        <v>0</v>
      </c>
      <c r="J26" s="29">
        <f t="shared" si="32"/>
        <v>0</v>
      </c>
      <c r="K26" s="29">
        <f t="shared" si="32"/>
        <v>0</v>
      </c>
      <c r="L26" s="29">
        <f t="shared" si="32"/>
        <v>0</v>
      </c>
      <c r="M26" s="51">
        <f t="shared" si="32"/>
        <v>0</v>
      </c>
      <c r="N26" s="52">
        <f t="shared" si="32"/>
        <v>0</v>
      </c>
      <c r="O26" s="29">
        <f t="shared" si="32"/>
        <v>0</v>
      </c>
      <c r="P26" s="29">
        <f t="shared" si="32"/>
        <v>0</v>
      </c>
      <c r="Q26" s="29">
        <f t="shared" si="32"/>
        <v>0</v>
      </c>
      <c r="R26" s="29">
        <f t="shared" si="32"/>
        <v>0</v>
      </c>
      <c r="S26" s="29">
        <f t="shared" si="32"/>
        <v>0</v>
      </c>
      <c r="T26" s="29">
        <f t="shared" si="32"/>
        <v>0</v>
      </c>
      <c r="U26" s="29">
        <f t="shared" si="32"/>
        <v>0</v>
      </c>
      <c r="V26" s="29">
        <f t="shared" si="32"/>
        <v>0</v>
      </c>
      <c r="W26" s="29">
        <f t="shared" si="32"/>
        <v>0</v>
      </c>
      <c r="X26" s="29">
        <f t="shared" si="32"/>
        <v>0</v>
      </c>
      <c r="Y26" s="29">
        <f t="shared" si="32"/>
        <v>0</v>
      </c>
    </row>
    <row r="27" spans="1:25" x14ac:dyDescent="0.25">
      <c r="A27" s="77"/>
      <c r="B27" s="8" t="str">
        <f xml:space="preserve"> CONCATENATE(Setup!$B$9, ", ", LEFT(Setup!$C$9,2))</f>
        <v>Dylan, DW</v>
      </c>
      <c r="C27" s="29">
        <f t="shared" si="31"/>
        <v>0</v>
      </c>
      <c r="D27" s="29">
        <f t="shared" si="31"/>
        <v>0</v>
      </c>
      <c r="E27" s="29">
        <f t="shared" si="31"/>
        <v>0</v>
      </c>
      <c r="F27" s="29">
        <f t="shared" ref="F27:Y27" si="33" xml:space="preserve"> F21 / F$6</f>
        <v>0</v>
      </c>
      <c r="G27" s="29">
        <f t="shared" si="33"/>
        <v>0</v>
      </c>
      <c r="H27" s="29">
        <f t="shared" si="33"/>
        <v>0</v>
      </c>
      <c r="I27" s="29">
        <f t="shared" si="33"/>
        <v>0</v>
      </c>
      <c r="J27" s="29">
        <f t="shared" si="33"/>
        <v>0</v>
      </c>
      <c r="K27" s="29">
        <f t="shared" si="33"/>
        <v>0</v>
      </c>
      <c r="L27" s="29">
        <f t="shared" si="33"/>
        <v>0</v>
      </c>
      <c r="M27" s="51">
        <f t="shared" si="33"/>
        <v>0</v>
      </c>
      <c r="N27" s="52">
        <f t="shared" si="33"/>
        <v>0</v>
      </c>
      <c r="O27" s="29">
        <f t="shared" si="33"/>
        <v>0</v>
      </c>
      <c r="P27" s="29">
        <f t="shared" si="33"/>
        <v>0</v>
      </c>
      <c r="Q27" s="29">
        <f t="shared" si="33"/>
        <v>0</v>
      </c>
      <c r="R27" s="29">
        <f t="shared" si="33"/>
        <v>0</v>
      </c>
      <c r="S27" s="29">
        <f t="shared" si="33"/>
        <v>0</v>
      </c>
      <c r="T27" s="29">
        <f t="shared" si="33"/>
        <v>0</v>
      </c>
      <c r="U27" s="29">
        <f t="shared" si="33"/>
        <v>0</v>
      </c>
      <c r="V27" s="29">
        <f t="shared" si="33"/>
        <v>0</v>
      </c>
      <c r="W27" s="29">
        <f t="shared" si="33"/>
        <v>0</v>
      </c>
      <c r="X27" s="29">
        <f t="shared" si="33"/>
        <v>0</v>
      </c>
      <c r="Y27" s="29">
        <f t="shared" si="33"/>
        <v>0</v>
      </c>
    </row>
    <row r="28" spans="1:25" x14ac:dyDescent="0.25">
      <c r="A28" s="77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0</v>
      </c>
      <c r="E28" s="29">
        <f t="shared" si="31"/>
        <v>0</v>
      </c>
      <c r="F28" s="29">
        <f t="shared" ref="F28:Y28" si="34" xml:space="preserve"> F22 / F$6</f>
        <v>0</v>
      </c>
      <c r="G28" s="29">
        <f t="shared" si="34"/>
        <v>0</v>
      </c>
      <c r="H28" s="29">
        <f t="shared" si="34"/>
        <v>0</v>
      </c>
      <c r="I28" s="29">
        <f t="shared" si="34"/>
        <v>0</v>
      </c>
      <c r="J28" s="29">
        <f t="shared" si="34"/>
        <v>0</v>
      </c>
      <c r="K28" s="29">
        <f t="shared" si="34"/>
        <v>0</v>
      </c>
      <c r="L28" s="29">
        <f t="shared" si="34"/>
        <v>0</v>
      </c>
      <c r="M28" s="51">
        <f t="shared" si="34"/>
        <v>0</v>
      </c>
      <c r="N28" s="52">
        <f t="shared" si="34"/>
        <v>0</v>
      </c>
      <c r="O28" s="29">
        <f t="shared" si="34"/>
        <v>0</v>
      </c>
      <c r="P28" s="29">
        <f t="shared" si="34"/>
        <v>0</v>
      </c>
      <c r="Q28" s="29">
        <f t="shared" si="34"/>
        <v>0</v>
      </c>
      <c r="R28" s="29">
        <f t="shared" si="34"/>
        <v>0</v>
      </c>
      <c r="S28" s="29">
        <f t="shared" si="34"/>
        <v>0</v>
      </c>
      <c r="T28" s="29">
        <f t="shared" si="34"/>
        <v>0</v>
      </c>
      <c r="U28" s="29">
        <f t="shared" si="34"/>
        <v>0</v>
      </c>
      <c r="V28" s="29">
        <f t="shared" si="34"/>
        <v>0</v>
      </c>
      <c r="W28" s="29">
        <f t="shared" si="34"/>
        <v>0</v>
      </c>
      <c r="X28" s="29">
        <f t="shared" si="34"/>
        <v>0</v>
      </c>
      <c r="Y28" s="29">
        <f t="shared" si="34"/>
        <v>0</v>
      </c>
    </row>
    <row r="29" spans="1:25" ht="15.75" x14ac:dyDescent="0.25">
      <c r="A29" s="77"/>
      <c r="B29" s="9" t="s">
        <v>30</v>
      </c>
      <c r="C29" s="30">
        <f t="shared" si="31"/>
        <v>0</v>
      </c>
      <c r="D29" s="30">
        <f t="shared" si="31"/>
        <v>0</v>
      </c>
      <c r="E29" s="30">
        <f t="shared" si="31"/>
        <v>0</v>
      </c>
      <c r="F29" s="30">
        <f t="shared" ref="F29:Y29" si="35" xml:space="preserve"> F23 / F$6</f>
        <v>0</v>
      </c>
      <c r="G29" s="30">
        <f t="shared" si="35"/>
        <v>0</v>
      </c>
      <c r="H29" s="30">
        <f t="shared" si="35"/>
        <v>0</v>
      </c>
      <c r="I29" s="30">
        <f t="shared" si="35"/>
        <v>0</v>
      </c>
      <c r="J29" s="30">
        <f t="shared" si="35"/>
        <v>0</v>
      </c>
      <c r="K29" s="30">
        <f t="shared" si="35"/>
        <v>0</v>
      </c>
      <c r="L29" s="30">
        <f t="shared" si="35"/>
        <v>0</v>
      </c>
      <c r="M29" s="53">
        <f t="shared" si="35"/>
        <v>0</v>
      </c>
      <c r="N29" s="54">
        <f t="shared" si="35"/>
        <v>0</v>
      </c>
      <c r="O29" s="30">
        <f t="shared" si="35"/>
        <v>0</v>
      </c>
      <c r="P29" s="30">
        <f t="shared" si="35"/>
        <v>0</v>
      </c>
      <c r="Q29" s="30">
        <f t="shared" si="35"/>
        <v>0</v>
      </c>
      <c r="R29" s="30">
        <f t="shared" si="35"/>
        <v>0</v>
      </c>
      <c r="S29" s="30">
        <f t="shared" si="35"/>
        <v>0</v>
      </c>
      <c r="T29" s="30">
        <f t="shared" si="35"/>
        <v>0</v>
      </c>
      <c r="U29" s="30">
        <f t="shared" si="35"/>
        <v>0</v>
      </c>
      <c r="V29" s="30">
        <f t="shared" si="35"/>
        <v>0</v>
      </c>
      <c r="W29" s="30">
        <f t="shared" si="35"/>
        <v>0</v>
      </c>
      <c r="X29" s="30">
        <f t="shared" si="35"/>
        <v>0</v>
      </c>
      <c r="Y29" s="30">
        <f t="shared" si="35"/>
        <v>0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zoomScaleNormal="100" workbookViewId="0">
      <selection activeCell="E19" sqref="E19"/>
    </sheetView>
  </sheetViews>
  <sheetFormatPr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60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0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60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  <c r="Q8" s="68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8">
        <v>0</v>
      </c>
    </row>
    <row r="9" spans="1:23" ht="16.5" thickTop="1" thickBot="1" x14ac:dyDescent="0.3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0</v>
      </c>
      <c r="R10" s="21">
        <f t="shared" si="1"/>
        <v>0</v>
      </c>
      <c r="S10" s="21">
        <f t="shared" si="1"/>
        <v>0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</row>
    <row r="11" spans="1:23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.75" thickBot="1" x14ac:dyDescent="0.3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  <c r="Q12" s="65">
        <f t="shared" si="2"/>
        <v>0</v>
      </c>
      <c r="R12" s="22">
        <f t="shared" si="2"/>
        <v>0</v>
      </c>
      <c r="S12" s="22">
        <f t="shared" si="2"/>
        <v>0</v>
      </c>
      <c r="T12" s="22">
        <f t="shared" si="2"/>
        <v>0</v>
      </c>
      <c r="U12" s="22">
        <f t="shared" si="2"/>
        <v>0</v>
      </c>
      <c r="V12" s="22">
        <f t="shared" si="2"/>
        <v>0</v>
      </c>
      <c r="W12" s="22">
        <f t="shared" si="2"/>
        <v>0</v>
      </c>
    </row>
    <row r="13" spans="1:23" ht="15.75" thickBot="1" x14ac:dyDescent="0.3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  <c r="Q13" s="65">
        <f t="shared" si="3"/>
        <v>0</v>
      </c>
      <c r="R13" s="22">
        <f t="shared" si="3"/>
        <v>0</v>
      </c>
      <c r="S13" s="22">
        <f t="shared" si="3"/>
        <v>0</v>
      </c>
      <c r="T13" s="22">
        <f t="shared" si="3"/>
        <v>0</v>
      </c>
      <c r="U13" s="22">
        <f t="shared" si="3"/>
        <v>0</v>
      </c>
      <c r="V13" s="22">
        <f t="shared" si="3"/>
        <v>0</v>
      </c>
      <c r="W13" s="22">
        <f t="shared" si="3"/>
        <v>0</v>
      </c>
    </row>
    <row r="14" spans="1:23" ht="15.75" thickBot="1" x14ac:dyDescent="0.3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  <c r="Q14" s="65">
        <f t="shared" si="4"/>
        <v>0</v>
      </c>
      <c r="R14" s="22">
        <f t="shared" si="4"/>
        <v>0</v>
      </c>
      <c r="S14" s="22">
        <f t="shared" si="4"/>
        <v>0</v>
      </c>
      <c r="T14" s="22">
        <f t="shared" si="4"/>
        <v>0</v>
      </c>
      <c r="U14" s="22">
        <f t="shared" si="4"/>
        <v>0</v>
      </c>
      <c r="V14" s="22">
        <f t="shared" si="4"/>
        <v>0</v>
      </c>
      <c r="W14" s="22">
        <f t="shared" si="4"/>
        <v>0</v>
      </c>
    </row>
    <row r="15" spans="1:23" ht="15.75" thickBot="1" x14ac:dyDescent="0.3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  <c r="Q16" s="63">
        <f t="shared" si="6"/>
        <v>0</v>
      </c>
      <c r="R16" s="21">
        <f t="shared" si="6"/>
        <v>0</v>
      </c>
      <c r="S16" s="21">
        <f t="shared" si="6"/>
        <v>0</v>
      </c>
      <c r="T16" s="21">
        <f t="shared" si="6"/>
        <v>0</v>
      </c>
      <c r="U16" s="21">
        <f t="shared" si="6"/>
        <v>0</v>
      </c>
      <c r="V16" s="21">
        <f t="shared" si="6"/>
        <v>0</v>
      </c>
      <c r="W16" s="21">
        <f t="shared" si="6"/>
        <v>0</v>
      </c>
    </row>
    <row r="17" spans="1:23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.75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  <c r="Q18" s="67">
        <v>0</v>
      </c>
      <c r="R18" s="35">
        <v>0</v>
      </c>
      <c r="S18" s="35">
        <v>0</v>
      </c>
      <c r="T18" s="35">
        <v>0</v>
      </c>
      <c r="U18" s="35">
        <v>0</v>
      </c>
      <c r="V18" s="35">
        <v>0</v>
      </c>
      <c r="W18" s="37">
        <v>0</v>
      </c>
    </row>
    <row r="19" spans="1:23" ht="16.5" thickTop="1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60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  <c r="Q19" s="68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  <c r="Q20" s="68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8">
        <v>0</v>
      </c>
    </row>
    <row r="21" spans="1:23" ht="16.5" thickTop="1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  <c r="Q22" s="63">
        <f t="shared" si="7"/>
        <v>0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4">
        <f t="shared" si="9"/>
        <v>0</v>
      </c>
      <c r="Q24" s="65">
        <f t="shared" si="9"/>
        <v>0</v>
      </c>
      <c r="R24" s="22">
        <f t="shared" si="9"/>
        <v>0</v>
      </c>
      <c r="S24" s="22">
        <f t="shared" si="9"/>
        <v>0</v>
      </c>
      <c r="T24" s="22">
        <f t="shared" si="9"/>
        <v>0</v>
      </c>
      <c r="U24" s="22">
        <f t="shared" si="9"/>
        <v>0</v>
      </c>
      <c r="V24" s="22">
        <f t="shared" si="9"/>
        <v>0</v>
      </c>
      <c r="W24" s="22">
        <f t="shared" si="9"/>
        <v>0</v>
      </c>
    </row>
    <row r="25" spans="1:23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4">
        <f t="shared" si="10"/>
        <v>0</v>
      </c>
      <c r="J25" s="65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4">
        <f t="shared" si="11"/>
        <v>0</v>
      </c>
      <c r="Q25" s="65">
        <f t="shared" si="11"/>
        <v>0</v>
      </c>
      <c r="R25" s="22">
        <f t="shared" si="11"/>
        <v>0</v>
      </c>
      <c r="S25" s="22">
        <f t="shared" si="11"/>
        <v>0</v>
      </c>
      <c r="T25" s="22">
        <f t="shared" si="11"/>
        <v>0</v>
      </c>
      <c r="U25" s="22">
        <f t="shared" si="11"/>
        <v>0</v>
      </c>
      <c r="V25" s="22">
        <f t="shared" si="11"/>
        <v>0</v>
      </c>
      <c r="W25" s="22">
        <f t="shared" si="11"/>
        <v>0</v>
      </c>
    </row>
    <row r="26" spans="1:23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4">
        <f t="shared" si="12"/>
        <v>0</v>
      </c>
      <c r="J26" s="65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4">
        <f t="shared" si="13"/>
        <v>0</v>
      </c>
      <c r="Q26" s="65">
        <f t="shared" si="13"/>
        <v>0</v>
      </c>
      <c r="R26" s="22">
        <f t="shared" si="13"/>
        <v>0</v>
      </c>
      <c r="S26" s="22">
        <f t="shared" si="13"/>
        <v>0</v>
      </c>
      <c r="T26" s="22">
        <f t="shared" si="13"/>
        <v>0</v>
      </c>
      <c r="U26" s="22">
        <f t="shared" si="13"/>
        <v>0</v>
      </c>
      <c r="V26" s="22">
        <f t="shared" si="13"/>
        <v>0</v>
      </c>
      <c r="W26" s="22">
        <f t="shared" si="13"/>
        <v>0</v>
      </c>
    </row>
    <row r="27" spans="1:23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2">
        <f t="shared" si="16"/>
        <v>0</v>
      </c>
      <c r="J28" s="63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2">
        <f t="shared" si="16"/>
        <v>0</v>
      </c>
      <c r="Q28" s="63">
        <f t="shared" si="16"/>
        <v>0</v>
      </c>
      <c r="R28" s="21">
        <f t="shared" si="16"/>
        <v>0</v>
      </c>
      <c r="S28" s="21">
        <f t="shared" si="16"/>
        <v>0</v>
      </c>
      <c r="T28" s="21">
        <f t="shared" si="16"/>
        <v>0</v>
      </c>
      <c r="U28" s="21">
        <f t="shared" si="16"/>
        <v>0</v>
      </c>
      <c r="V28" s="21">
        <f t="shared" si="16"/>
        <v>0</v>
      </c>
      <c r="W28" s="21">
        <f t="shared" si="16"/>
        <v>0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</v>
      </c>
      <c r="G30" s="22">
        <f t="shared" si="17"/>
        <v>0</v>
      </c>
      <c r="H30" s="22">
        <f t="shared" si="17"/>
        <v>0</v>
      </c>
      <c r="I30" s="64">
        <f t="shared" si="17"/>
        <v>0</v>
      </c>
      <c r="J30" s="65">
        <f t="shared" si="17"/>
        <v>0</v>
      </c>
      <c r="K30" s="22">
        <f t="shared" si="17"/>
        <v>0</v>
      </c>
      <c r="L30" s="22">
        <f t="shared" si="17"/>
        <v>0</v>
      </c>
      <c r="M30" s="22">
        <f t="shared" si="17"/>
        <v>0</v>
      </c>
      <c r="N30" s="22">
        <f t="shared" si="17"/>
        <v>0</v>
      </c>
      <c r="O30" s="22">
        <f t="shared" si="17"/>
        <v>0</v>
      </c>
      <c r="P30" s="64">
        <f t="shared" si="17"/>
        <v>0</v>
      </c>
      <c r="Q30" s="65">
        <f t="shared" si="17"/>
        <v>0</v>
      </c>
      <c r="R30" s="22">
        <f t="shared" si="17"/>
        <v>0</v>
      </c>
      <c r="S30" s="22">
        <f t="shared" si="17"/>
        <v>0</v>
      </c>
      <c r="T30" s="22">
        <f t="shared" si="17"/>
        <v>0</v>
      </c>
      <c r="U30" s="22">
        <f t="shared" si="17"/>
        <v>0</v>
      </c>
      <c r="V30" s="22">
        <f t="shared" si="17"/>
        <v>0</v>
      </c>
      <c r="W30" s="22">
        <f t="shared" si="17"/>
        <v>0</v>
      </c>
    </row>
    <row r="31" spans="1:23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W31" si="18" xml:space="preserve"> (E$13 + E$25) / E$5</f>
        <v>0</v>
      </c>
      <c r="F31" s="22">
        <f t="shared" si="18"/>
        <v>0</v>
      </c>
      <c r="G31" s="22">
        <f t="shared" si="18"/>
        <v>0</v>
      </c>
      <c r="H31" s="22">
        <f t="shared" si="18"/>
        <v>0</v>
      </c>
      <c r="I31" s="64">
        <f t="shared" si="18"/>
        <v>0</v>
      </c>
      <c r="J31" s="65">
        <f t="shared" si="18"/>
        <v>0</v>
      </c>
      <c r="K31" s="22">
        <f t="shared" si="18"/>
        <v>0</v>
      </c>
      <c r="L31" s="22">
        <f t="shared" si="18"/>
        <v>0</v>
      </c>
      <c r="M31" s="22">
        <f t="shared" si="18"/>
        <v>0</v>
      </c>
      <c r="N31" s="22">
        <f t="shared" si="18"/>
        <v>0</v>
      </c>
      <c r="O31" s="22">
        <f t="shared" si="18"/>
        <v>0</v>
      </c>
      <c r="P31" s="64">
        <f t="shared" si="18"/>
        <v>0</v>
      </c>
      <c r="Q31" s="65">
        <f t="shared" si="18"/>
        <v>0</v>
      </c>
      <c r="R31" s="22">
        <f t="shared" si="18"/>
        <v>0</v>
      </c>
      <c r="S31" s="22">
        <f t="shared" si="18"/>
        <v>0</v>
      </c>
      <c r="T31" s="22">
        <f t="shared" si="18"/>
        <v>0</v>
      </c>
      <c r="U31" s="22">
        <f t="shared" si="18"/>
        <v>0</v>
      </c>
      <c r="V31" s="22">
        <f t="shared" si="18"/>
        <v>0</v>
      </c>
      <c r="W31" s="22">
        <f t="shared" si="18"/>
        <v>0</v>
      </c>
    </row>
    <row r="32" spans="1:23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W32" si="19" xml:space="preserve"> (E$14 + E$26) / E$5</f>
        <v>0</v>
      </c>
      <c r="F32" s="22">
        <f t="shared" si="19"/>
        <v>0</v>
      </c>
      <c r="G32" s="22">
        <f t="shared" si="19"/>
        <v>0</v>
      </c>
      <c r="H32" s="22">
        <f t="shared" si="19"/>
        <v>0</v>
      </c>
      <c r="I32" s="64">
        <f t="shared" si="19"/>
        <v>0</v>
      </c>
      <c r="J32" s="65">
        <f t="shared" si="19"/>
        <v>0</v>
      </c>
      <c r="K32" s="22">
        <f t="shared" si="19"/>
        <v>0</v>
      </c>
      <c r="L32" s="22">
        <f t="shared" si="19"/>
        <v>0</v>
      </c>
      <c r="M32" s="22">
        <f t="shared" si="19"/>
        <v>0</v>
      </c>
      <c r="N32" s="22">
        <f t="shared" si="19"/>
        <v>0</v>
      </c>
      <c r="O32" s="22">
        <f t="shared" si="19"/>
        <v>0</v>
      </c>
      <c r="P32" s="64">
        <f t="shared" si="19"/>
        <v>0</v>
      </c>
      <c r="Q32" s="65">
        <f t="shared" si="19"/>
        <v>0</v>
      </c>
      <c r="R32" s="22">
        <f t="shared" si="19"/>
        <v>0</v>
      </c>
      <c r="S32" s="22">
        <f t="shared" si="19"/>
        <v>0</v>
      </c>
      <c r="T32" s="22">
        <f t="shared" si="19"/>
        <v>0</v>
      </c>
      <c r="U32" s="22">
        <f t="shared" si="19"/>
        <v>0</v>
      </c>
      <c r="V32" s="22">
        <f t="shared" si="19"/>
        <v>0</v>
      </c>
      <c r="W32" s="22">
        <f t="shared" si="19"/>
        <v>0</v>
      </c>
    </row>
    <row r="33" spans="1:23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</v>
      </c>
      <c r="E34" s="21">
        <f t="shared" si="21"/>
        <v>0</v>
      </c>
      <c r="F34" s="21">
        <f t="shared" si="21"/>
        <v>0</v>
      </c>
      <c r="G34" s="21">
        <f t="shared" si="21"/>
        <v>0</v>
      </c>
      <c r="H34" s="21">
        <f t="shared" si="21"/>
        <v>0</v>
      </c>
      <c r="I34" s="62">
        <f t="shared" si="21"/>
        <v>0</v>
      </c>
      <c r="J34" s="63">
        <f t="shared" si="21"/>
        <v>0</v>
      </c>
      <c r="K34" s="21">
        <f t="shared" si="21"/>
        <v>0</v>
      </c>
      <c r="L34" s="21">
        <f t="shared" si="21"/>
        <v>0</v>
      </c>
      <c r="M34" s="21">
        <f t="shared" si="21"/>
        <v>0</v>
      </c>
      <c r="N34" s="21">
        <f t="shared" si="21"/>
        <v>0</v>
      </c>
      <c r="O34" s="21">
        <f t="shared" si="21"/>
        <v>0</v>
      </c>
      <c r="P34" s="62">
        <f t="shared" si="21"/>
        <v>0</v>
      </c>
      <c r="Q34" s="63">
        <f t="shared" si="21"/>
        <v>0</v>
      </c>
      <c r="R34" s="21">
        <f t="shared" si="21"/>
        <v>0</v>
      </c>
      <c r="S34" s="21">
        <f t="shared" si="21"/>
        <v>0</v>
      </c>
      <c r="T34" s="21">
        <f t="shared" si="21"/>
        <v>0</v>
      </c>
      <c r="U34" s="21">
        <f t="shared" si="21"/>
        <v>0</v>
      </c>
      <c r="V34" s="21">
        <f t="shared" si="21"/>
        <v>0</v>
      </c>
      <c r="W34" s="21">
        <f t="shared" si="21"/>
        <v>0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SUM(Q6:W6) + SUM(Q18:W18)</f>
        <v>0</v>
      </c>
      <c r="F37" s="25">
        <f xml:space="preserve"> SUM(C37:E37)</f>
        <v>0</v>
      </c>
    </row>
    <row r="38" spans="1:23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0</v>
      </c>
      <c r="D38" s="25">
        <f t="shared" ref="D38:D40" si="23" xml:space="preserve"> SUM(J7:P7) + SUM(J19:P19)</f>
        <v>0</v>
      </c>
      <c r="E38" s="25">
        <f t="shared" ref="E38:E40" si="24" xml:space="preserve"> SUM(Q7:W7) + SUM(Q19:W19)</f>
        <v>0</v>
      </c>
      <c r="F38" s="25">
        <f t="shared" ref="F38:F41" si="25" xml:space="preserve"> SUM(C38:E38)</f>
        <v>0</v>
      </c>
    </row>
    <row r="39" spans="1:23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22"/>
        <v>0</v>
      </c>
      <c r="D39" s="25">
        <f t="shared" si="23"/>
        <v>0</v>
      </c>
      <c r="E39" s="25">
        <f t="shared" si="24"/>
        <v>0</v>
      </c>
      <c r="F39" s="25">
        <f t="shared" si="25"/>
        <v>0</v>
      </c>
    </row>
    <row r="40" spans="1:23" ht="15.75" thickBot="1" x14ac:dyDescent="0.3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:E41" si="26" xml:space="preserve"> SUM(D37:D40)</f>
        <v>0</v>
      </c>
      <c r="E41" s="21">
        <f t="shared" si="26"/>
        <v>0</v>
      </c>
      <c r="F41" s="21">
        <f t="shared" si="25"/>
        <v>0</v>
      </c>
    </row>
    <row r="42" spans="1:23" ht="15.75" thickBot="1" x14ac:dyDescent="0.3">
      <c r="A42" s="19"/>
    </row>
    <row r="43" spans="1:23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0</v>
      </c>
      <c r="D43" s="25">
        <f xml:space="preserve"> SUM(C37:D37) / D$36</f>
        <v>0</v>
      </c>
      <c r="E43" s="25">
        <f xml:space="preserve"> SUM(C37:E37) / E$36</f>
        <v>0</v>
      </c>
    </row>
    <row r="44" spans="1:23" ht="15.75" thickBot="1" x14ac:dyDescent="0.3">
      <c r="A44" s="81"/>
      <c r="B44" s="17" t="str">
        <f xml:space="preserve"> CONCATENATE(Setup!$B$8, ", ", LEFT(Setup!$C$8,2))</f>
        <v>Spencer, SS</v>
      </c>
      <c r="C44" s="25">
        <f xml:space="preserve"> C38 / C36</f>
        <v>0</v>
      </c>
      <c r="D44" s="25">
        <f t="shared" ref="D44:D46" si="27" xml:space="preserve"> SUM(C38:D38) / D$36</f>
        <v>0</v>
      </c>
      <c r="E44" s="25">
        <f t="shared" ref="E44:E46" si="28" xml:space="preserve"> SUM(C38:E38) / E$36</f>
        <v>0</v>
      </c>
    </row>
    <row r="45" spans="1:23" ht="15.75" thickBot="1" x14ac:dyDescent="0.3">
      <c r="A45" s="81"/>
      <c r="B45" s="17" t="str">
        <f xml:space="preserve"> CONCATENATE(Setup!$B$9, ", ", LEFT(Setup!$C$9,2))</f>
        <v>Dylan, DW</v>
      </c>
      <c r="C45" s="25">
        <f xml:space="preserve"> C39 / C36</f>
        <v>0</v>
      </c>
      <c r="D45" s="25">
        <f t="shared" si="27"/>
        <v>0</v>
      </c>
      <c r="E45" s="25">
        <f t="shared" si="28"/>
        <v>0</v>
      </c>
    </row>
    <row r="46" spans="1:23" ht="15.75" thickBot="1" x14ac:dyDescent="0.3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:E47" si="29" xml:space="preserve"> SUM(D43:D46)</f>
        <v>0</v>
      </c>
      <c r="E47" s="21">
        <f t="shared" si="29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D7" sqref="D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J3:P3"/>
    <mergeCell ref="A6:A10"/>
    <mergeCell ref="A12:A16"/>
    <mergeCell ref="A18:A22"/>
    <mergeCell ref="A30:A34"/>
    <mergeCell ref="A37:A41"/>
    <mergeCell ref="A43:A47"/>
    <mergeCell ref="A24:A28"/>
    <mergeCell ref="C3:I3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37" sqref="C3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workbookViewId="0">
      <selection activeCell="R15" sqref="R1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xml:space="preserve"> SUM(D6:D9)</f>
        <v>0</v>
      </c>
      <c r="E10" s="21">
        <f xml:space="preserve"> SUM(E6:E9)</f>
        <v>0</v>
      </c>
      <c r="F10" s="21">
        <f xml:space="preserve"> SUM(F6:F9)</f>
        <v>0</v>
      </c>
      <c r="G10" s="21">
        <f xml:space="preserve"> SUM(G6:G9)</f>
        <v>0</v>
      </c>
      <c r="H10" s="21">
        <f xml:space="preserve"> SUM(H6:H9)</f>
        <v>0</v>
      </c>
      <c r="I10" s="62">
        <f xml:space="preserve"> SUM(I6:I9)</f>
        <v>0</v>
      </c>
      <c r="J10" s="63">
        <f xml:space="preserve"> SUM(J6:J9)</f>
        <v>0</v>
      </c>
      <c r="K10" s="21">
        <f xml:space="preserve"> SUM(K6:K9)</f>
        <v>0</v>
      </c>
      <c r="L10" s="21">
        <f xml:space="preserve"> SUM(L6:L9)</f>
        <v>0</v>
      </c>
      <c r="M10" s="21">
        <f xml:space="preserve"> SUM(M6:M9)</f>
        <v>0</v>
      </c>
      <c r="N10" s="21">
        <f xml:space="preserve"> SUM(N6:N9)</f>
        <v>0</v>
      </c>
      <c r="O10" s="21">
        <f xml:space="preserve"> SUM(O6:O9)</f>
        <v>0</v>
      </c>
      <c r="P10" s="62">
        <f xml:space="preserve"> SUM(P6:P9)</f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xml:space="preserve"> C$12 + D$6</f>
        <v>0</v>
      </c>
      <c r="E12" s="22">
        <f xml:space="preserve"> D$12 + E$6</f>
        <v>0</v>
      </c>
      <c r="F12" s="22">
        <f xml:space="preserve"> E$12 + F$6</f>
        <v>0</v>
      </c>
      <c r="G12" s="22">
        <f xml:space="preserve"> F$12 + G$6</f>
        <v>0</v>
      </c>
      <c r="H12" s="22">
        <f xml:space="preserve"> G$12 + H$6</f>
        <v>0</v>
      </c>
      <c r="I12" s="64">
        <f xml:space="preserve"> H$12 + I$6</f>
        <v>0</v>
      </c>
      <c r="J12" s="65">
        <f xml:space="preserve"> I$12 + J$6</f>
        <v>0</v>
      </c>
      <c r="K12" s="22">
        <f xml:space="preserve"> J$12 + K$6</f>
        <v>0</v>
      </c>
      <c r="L12" s="22">
        <f xml:space="preserve"> K$12 + L$6</f>
        <v>0</v>
      </c>
      <c r="M12" s="22">
        <f xml:space="preserve"> L$12 + M$6</f>
        <v>0</v>
      </c>
      <c r="N12" s="22">
        <f xml:space="preserve"> M$12 + N$6</f>
        <v>0</v>
      </c>
      <c r="O12" s="22">
        <f xml:space="preserve"> N$12 + O$6</f>
        <v>0</v>
      </c>
      <c r="P12" s="64">
        <f xml:space="preserve"> O$12 + P$6</f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xml:space="preserve"> C$13 + D$7</f>
        <v>0</v>
      </c>
      <c r="E13" s="22">
        <f xml:space="preserve"> D$13 + E$7</f>
        <v>0</v>
      </c>
      <c r="F13" s="22">
        <f xml:space="preserve"> E$13 + F$7</f>
        <v>0</v>
      </c>
      <c r="G13" s="22">
        <f xml:space="preserve"> F$13 + G$7</f>
        <v>0</v>
      </c>
      <c r="H13" s="22">
        <f xml:space="preserve"> G$13 + H$7</f>
        <v>0</v>
      </c>
      <c r="I13" s="64">
        <f xml:space="preserve"> H$13 + I$7</f>
        <v>0</v>
      </c>
      <c r="J13" s="65">
        <f xml:space="preserve"> I$13 + J$7</f>
        <v>0</v>
      </c>
      <c r="K13" s="22">
        <f xml:space="preserve"> J$13 + K$7</f>
        <v>0</v>
      </c>
      <c r="L13" s="22">
        <f xml:space="preserve"> K$13 + L$7</f>
        <v>0</v>
      </c>
      <c r="M13" s="22">
        <f xml:space="preserve"> L$13 + M$7</f>
        <v>0</v>
      </c>
      <c r="N13" s="22">
        <f xml:space="preserve"> M$13 + N$7</f>
        <v>0</v>
      </c>
      <c r="O13" s="22">
        <f xml:space="preserve"> N$13 + O$7</f>
        <v>0</v>
      </c>
      <c r="P13" s="64">
        <f xml:space="preserve"> O$13 + P$7</f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xml:space="preserve"> C$14 + D$8</f>
        <v>0</v>
      </c>
      <c r="E14" s="22">
        <f xml:space="preserve"> D$14 + E$8</f>
        <v>0</v>
      </c>
      <c r="F14" s="22">
        <f xml:space="preserve"> E$14 + F$8</f>
        <v>0</v>
      </c>
      <c r="G14" s="22">
        <f xml:space="preserve"> F$14 + G$8</f>
        <v>0</v>
      </c>
      <c r="H14" s="22">
        <f xml:space="preserve"> G$14 + H$8</f>
        <v>0</v>
      </c>
      <c r="I14" s="64">
        <f xml:space="preserve"> H$14 + I$8</f>
        <v>0</v>
      </c>
      <c r="J14" s="65">
        <f xml:space="preserve"> I$14 + J$8</f>
        <v>0</v>
      </c>
      <c r="K14" s="22">
        <f xml:space="preserve"> J$14 + K$8</f>
        <v>0</v>
      </c>
      <c r="L14" s="22">
        <f xml:space="preserve"> K$14 + L$8</f>
        <v>0</v>
      </c>
      <c r="M14" s="22">
        <f xml:space="preserve"> L$14 + M$8</f>
        <v>0</v>
      </c>
      <c r="N14" s="22">
        <f xml:space="preserve"> M$14 + N$8</f>
        <v>0</v>
      </c>
      <c r="O14" s="22">
        <f xml:space="preserve"> N$14 + O$8</f>
        <v>0</v>
      </c>
      <c r="P14" s="64">
        <f xml:space="preserve"> O$14 + P$8</f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xml:space="preserve"> C$15 + D$9</f>
        <v>0</v>
      </c>
      <c r="E15" s="22">
        <f xml:space="preserve"> D$15 + E$9</f>
        <v>0</v>
      </c>
      <c r="F15" s="22">
        <f xml:space="preserve"> E$15 + F$9</f>
        <v>0</v>
      </c>
      <c r="G15" s="22">
        <f xml:space="preserve"> F$15 + G$9</f>
        <v>0</v>
      </c>
      <c r="H15" s="22">
        <f xml:space="preserve"> G$15 + H$9</f>
        <v>0</v>
      </c>
      <c r="I15" s="64">
        <f xml:space="preserve"> H$15 + I$9</f>
        <v>0</v>
      </c>
      <c r="J15" s="65">
        <f xml:space="preserve"> I$15 + J$9</f>
        <v>0</v>
      </c>
      <c r="K15" s="22">
        <f xml:space="preserve"> J$15 + K$9</f>
        <v>0</v>
      </c>
      <c r="L15" s="22">
        <f xml:space="preserve"> K$15 + L$9</f>
        <v>0</v>
      </c>
      <c r="M15" s="22">
        <f xml:space="preserve"> L$15 + M$9</f>
        <v>0</v>
      </c>
      <c r="N15" s="22">
        <f xml:space="preserve"> M$15 + N$9</f>
        <v>0</v>
      </c>
      <c r="O15" s="22">
        <f xml:space="preserve"> N$15 + O$9</f>
        <v>0</v>
      </c>
      <c r="P15" s="64">
        <f xml:space="preserve"> O$15 + P$9</f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1" xml:space="preserve"> SUM(D12:D15)</f>
        <v>0</v>
      </c>
      <c r="E16" s="21">
        <f t="shared" si="1"/>
        <v>0</v>
      </c>
      <c r="F16" s="21">
        <f t="shared" si="1"/>
        <v>0</v>
      </c>
      <c r="G16" s="21">
        <f t="shared" si="1"/>
        <v>0</v>
      </c>
      <c r="H16" s="21">
        <f t="shared" si="1"/>
        <v>0</v>
      </c>
      <c r="I16" s="62">
        <f t="shared" si="1"/>
        <v>0</v>
      </c>
      <c r="J16" s="63">
        <f t="shared" si="1"/>
        <v>0</v>
      </c>
      <c r="K16" s="21">
        <f t="shared" si="1"/>
        <v>0</v>
      </c>
      <c r="L16" s="21">
        <f t="shared" si="1"/>
        <v>0</v>
      </c>
      <c r="M16" s="21">
        <f t="shared" si="1"/>
        <v>0</v>
      </c>
      <c r="N16" s="21">
        <f t="shared" si="1"/>
        <v>0</v>
      </c>
      <c r="O16" s="21">
        <f t="shared" si="1"/>
        <v>0</v>
      </c>
      <c r="P16" s="62">
        <f t="shared" si="1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2" xml:space="preserve"> SUM(D18:D21)</f>
        <v>0</v>
      </c>
      <c r="E22" s="21">
        <f t="shared" si="2"/>
        <v>0</v>
      </c>
      <c r="F22" s="21">
        <f t="shared" si="2"/>
        <v>0</v>
      </c>
      <c r="G22" s="21">
        <f t="shared" si="2"/>
        <v>0</v>
      </c>
      <c r="H22" s="21">
        <f t="shared" si="2"/>
        <v>0</v>
      </c>
      <c r="I22" s="62">
        <f t="shared" si="2"/>
        <v>0</v>
      </c>
      <c r="J22" s="63">
        <f t="shared" si="2"/>
        <v>0</v>
      </c>
      <c r="K22" s="21">
        <f t="shared" si="2"/>
        <v>0</v>
      </c>
      <c r="L22" s="21">
        <f t="shared" si="2"/>
        <v>0</v>
      </c>
      <c r="M22" s="21">
        <f t="shared" si="2"/>
        <v>0</v>
      </c>
      <c r="N22" s="21">
        <f t="shared" si="2"/>
        <v>0</v>
      </c>
      <c r="O22" s="21">
        <f t="shared" si="2"/>
        <v>0</v>
      </c>
      <c r="P22" s="62">
        <f t="shared" si="2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3" xml:space="preserve"> D$24 + E$18</f>
        <v>0</v>
      </c>
      <c r="F24" s="22">
        <f t="shared" si="3"/>
        <v>0</v>
      </c>
      <c r="G24" s="22">
        <f t="shared" si="3"/>
        <v>0</v>
      </c>
      <c r="H24" s="22">
        <f t="shared" si="3"/>
        <v>0</v>
      </c>
      <c r="I24" s="64">
        <f t="shared" si="3"/>
        <v>0</v>
      </c>
      <c r="J24" s="65">
        <f t="shared" si="3"/>
        <v>0</v>
      </c>
      <c r="K24" s="22">
        <f t="shared" si="3"/>
        <v>0</v>
      </c>
      <c r="L24" s="22">
        <f t="shared" si="3"/>
        <v>0</v>
      </c>
      <c r="M24" s="22">
        <f t="shared" si="3"/>
        <v>0</v>
      </c>
      <c r="N24" s="22">
        <f t="shared" si="3"/>
        <v>0</v>
      </c>
      <c r="O24" s="22">
        <f t="shared" si="3"/>
        <v>0</v>
      </c>
      <c r="P24" s="64">
        <f t="shared" si="3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4" xml:space="preserve"> D$25 + E$19</f>
        <v>0</v>
      </c>
      <c r="F25" s="22">
        <f t="shared" si="4"/>
        <v>0</v>
      </c>
      <c r="G25" s="22">
        <f t="shared" si="4"/>
        <v>0</v>
      </c>
      <c r="H25" s="22">
        <f t="shared" si="4"/>
        <v>0</v>
      </c>
      <c r="I25" s="64">
        <f t="shared" si="4"/>
        <v>0</v>
      </c>
      <c r="J25" s="65">
        <f t="shared" si="4"/>
        <v>0</v>
      </c>
      <c r="K25" s="22">
        <f t="shared" si="4"/>
        <v>0</v>
      </c>
      <c r="L25" s="22">
        <f t="shared" si="4"/>
        <v>0</v>
      </c>
      <c r="M25" s="22">
        <f t="shared" si="4"/>
        <v>0</v>
      </c>
      <c r="N25" s="22">
        <f t="shared" si="4"/>
        <v>0</v>
      </c>
      <c r="O25" s="22">
        <f t="shared" si="4"/>
        <v>0</v>
      </c>
      <c r="P25" s="64">
        <f t="shared" si="4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5" xml:space="preserve"> D$26 + E$20</f>
        <v>0</v>
      </c>
      <c r="F26" s="22">
        <f t="shared" si="5"/>
        <v>0</v>
      </c>
      <c r="G26" s="22">
        <f t="shared" si="5"/>
        <v>0</v>
      </c>
      <c r="H26" s="22">
        <f t="shared" si="5"/>
        <v>0</v>
      </c>
      <c r="I26" s="64">
        <f t="shared" si="5"/>
        <v>0</v>
      </c>
      <c r="J26" s="65">
        <f t="shared" si="5"/>
        <v>0</v>
      </c>
      <c r="K26" s="22">
        <f t="shared" si="5"/>
        <v>0</v>
      </c>
      <c r="L26" s="22">
        <f t="shared" si="5"/>
        <v>0</v>
      </c>
      <c r="M26" s="22">
        <f t="shared" si="5"/>
        <v>0</v>
      </c>
      <c r="N26" s="22">
        <f t="shared" si="5"/>
        <v>0</v>
      </c>
      <c r="O26" s="22">
        <f t="shared" si="5"/>
        <v>0</v>
      </c>
      <c r="P26" s="64">
        <f t="shared" si="5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6" xml:space="preserve"> D$27 + E$21</f>
        <v>0</v>
      </c>
      <c r="F27" s="22">
        <f t="shared" si="6"/>
        <v>0</v>
      </c>
      <c r="G27" s="22">
        <f t="shared" si="6"/>
        <v>0</v>
      </c>
      <c r="H27" s="22">
        <f t="shared" si="6"/>
        <v>0</v>
      </c>
      <c r="I27" s="64">
        <f t="shared" si="6"/>
        <v>0</v>
      </c>
      <c r="J27" s="65">
        <f t="shared" si="6"/>
        <v>0</v>
      </c>
      <c r="K27" s="22">
        <f t="shared" si="6"/>
        <v>0</v>
      </c>
      <c r="L27" s="22">
        <f t="shared" si="6"/>
        <v>0</v>
      </c>
      <c r="M27" s="22">
        <f t="shared" si="6"/>
        <v>0</v>
      </c>
      <c r="N27" s="22">
        <f t="shared" si="6"/>
        <v>0</v>
      </c>
      <c r="O27" s="22">
        <f t="shared" si="6"/>
        <v>0</v>
      </c>
      <c r="P27" s="64">
        <f t="shared" si="6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7" xml:space="preserve"> SUM(D24:D27)</f>
        <v>0</v>
      </c>
      <c r="E28" s="21">
        <f t="shared" si="7"/>
        <v>0</v>
      </c>
      <c r="F28" s="21">
        <f t="shared" si="7"/>
        <v>0</v>
      </c>
      <c r="G28" s="21">
        <f t="shared" si="7"/>
        <v>0</v>
      </c>
      <c r="H28" s="21">
        <f t="shared" si="7"/>
        <v>0</v>
      </c>
      <c r="I28" s="62">
        <f t="shared" si="7"/>
        <v>0</v>
      </c>
      <c r="J28" s="63">
        <f t="shared" si="7"/>
        <v>0</v>
      </c>
      <c r="K28" s="21">
        <f t="shared" si="7"/>
        <v>0</v>
      </c>
      <c r="L28" s="21">
        <f t="shared" si="7"/>
        <v>0</v>
      </c>
      <c r="M28" s="21">
        <f t="shared" si="7"/>
        <v>0</v>
      </c>
      <c r="N28" s="21">
        <f t="shared" si="7"/>
        <v>0</v>
      </c>
      <c r="O28" s="21">
        <f t="shared" si="7"/>
        <v>0</v>
      </c>
      <c r="P28" s="62">
        <f t="shared" si="7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xml:space="preserve"> (E$12 + E$24) / E$5</f>
        <v>0</v>
      </c>
      <c r="F30" s="22">
        <f xml:space="preserve"> (F$12 + F$24) / F$5</f>
        <v>0</v>
      </c>
      <c r="G30" s="22">
        <f xml:space="preserve"> (G$12 + G$24) / G$5</f>
        <v>0</v>
      </c>
      <c r="H30" s="22">
        <f xml:space="preserve"> (H$12 + H$24) / H$5</f>
        <v>0</v>
      </c>
      <c r="I30" s="64">
        <f xml:space="preserve"> (I$12 + I$24) / I$5</f>
        <v>0</v>
      </c>
      <c r="J30" s="65">
        <f xml:space="preserve"> (J$12 + J$24) / J$5</f>
        <v>0</v>
      </c>
      <c r="K30" s="22">
        <f xml:space="preserve"> (K$12 + K$24) / K$5</f>
        <v>0</v>
      </c>
      <c r="L30" s="22">
        <f xml:space="preserve"> (L$12 + L$24) / L$5</f>
        <v>0</v>
      </c>
      <c r="M30" s="22">
        <f xml:space="preserve"> (M$12 + M$24) / M$5</f>
        <v>0</v>
      </c>
      <c r="N30" s="22">
        <f xml:space="preserve"> (N$12 + N$24) / N$5</f>
        <v>0</v>
      </c>
      <c r="O30" s="22">
        <f xml:space="preserve"> (O$12 + O$24) / O$5</f>
        <v>0</v>
      </c>
      <c r="P30" s="64">
        <f xml:space="preserve"> (P$12 + P$24) / P$5</f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xml:space="preserve"> (E$13 + E$25) / E$5</f>
        <v>0</v>
      </c>
      <c r="F31" s="22">
        <f xml:space="preserve"> (F$13 + F$25) / F$5</f>
        <v>0</v>
      </c>
      <c r="G31" s="22">
        <f xml:space="preserve"> (G$13 + G$25) / G$5</f>
        <v>0</v>
      </c>
      <c r="H31" s="22">
        <f xml:space="preserve"> (H$13 + H$25) / H$5</f>
        <v>0</v>
      </c>
      <c r="I31" s="64">
        <f xml:space="preserve"> (I$13 + I$25) / I$5</f>
        <v>0</v>
      </c>
      <c r="J31" s="65">
        <f xml:space="preserve"> (J$13 + J$25) / J$5</f>
        <v>0</v>
      </c>
      <c r="K31" s="22">
        <f xml:space="preserve"> (K$13 + K$25) / K$5</f>
        <v>0</v>
      </c>
      <c r="L31" s="22">
        <f xml:space="preserve"> (L$13 + L$25) / L$5</f>
        <v>0</v>
      </c>
      <c r="M31" s="22">
        <f xml:space="preserve"> (M$13 + M$25) / M$5</f>
        <v>0</v>
      </c>
      <c r="N31" s="22">
        <f xml:space="preserve"> (N$13 + N$25) / N$5</f>
        <v>0</v>
      </c>
      <c r="O31" s="22">
        <f xml:space="preserve"> (O$13 + O$25) / O$5</f>
        <v>0</v>
      </c>
      <c r="P31" s="64">
        <f xml:space="preserve"> (P$13 + P$25) / P$5</f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xml:space="preserve"> (E$14 + E$26) / E$5</f>
        <v>0</v>
      </c>
      <c r="F32" s="22">
        <f xml:space="preserve"> (F$14 + F$26) / F$5</f>
        <v>0</v>
      </c>
      <c r="G32" s="22">
        <f xml:space="preserve"> (G$14 + G$26) / G$5</f>
        <v>0</v>
      </c>
      <c r="H32" s="22">
        <f xml:space="preserve"> (H$14 + H$26) / H$5</f>
        <v>0</v>
      </c>
      <c r="I32" s="64">
        <f xml:space="preserve"> (I$14 + I$26) / I$5</f>
        <v>0</v>
      </c>
      <c r="J32" s="65">
        <f xml:space="preserve"> (J$14 + J$26) / J$5</f>
        <v>0</v>
      </c>
      <c r="K32" s="22">
        <f xml:space="preserve"> (K$14 + K$26) / K$5</f>
        <v>0</v>
      </c>
      <c r="L32" s="22">
        <f xml:space="preserve"> (L$14 + L$26) / L$5</f>
        <v>0</v>
      </c>
      <c r="M32" s="22">
        <f xml:space="preserve"> (M$14 + M$26) / M$5</f>
        <v>0</v>
      </c>
      <c r="N32" s="22">
        <f xml:space="preserve"> (N$14 + N$26) / N$5</f>
        <v>0</v>
      </c>
      <c r="O32" s="22">
        <f xml:space="preserve"> (O$14 + O$26) / O$5</f>
        <v>0</v>
      </c>
      <c r="P32" s="64">
        <f xml:space="preserve"> (P$14 + P$26) / P$5</f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xml:space="preserve"> (E$15 + E$27) / E$5</f>
        <v>0</v>
      </c>
      <c r="F33" s="22">
        <f xml:space="preserve"> (F$15 + F$27) / F$5</f>
        <v>0</v>
      </c>
      <c r="G33" s="22">
        <f xml:space="preserve"> (G$15 + G$27) / G$5</f>
        <v>0</v>
      </c>
      <c r="H33" s="22">
        <f xml:space="preserve"> (H$15 + H$27) / H$5</f>
        <v>0</v>
      </c>
      <c r="I33" s="64">
        <f xml:space="preserve"> (I$15 + I$27) / I$5</f>
        <v>0</v>
      </c>
      <c r="J33" s="65">
        <f xml:space="preserve"> (J$15 + J$27) / J$5</f>
        <v>0</v>
      </c>
      <c r="K33" s="22">
        <f xml:space="preserve"> (K$15 + K$27) / K$5</f>
        <v>0</v>
      </c>
      <c r="L33" s="22">
        <f xml:space="preserve"> (L$15 + L$27) / L$5</f>
        <v>0</v>
      </c>
      <c r="M33" s="22">
        <f xml:space="preserve"> (M$15 + M$27) / M$5</f>
        <v>0</v>
      </c>
      <c r="N33" s="22">
        <f xml:space="preserve"> (N$15 + N$27) / N$5</f>
        <v>0</v>
      </c>
      <c r="O33" s="22">
        <f xml:space="preserve"> (O$15 + O$27) / O$5</f>
        <v>0</v>
      </c>
      <c r="P33" s="64">
        <f xml:space="preserve"> (P$15 + P$27) / P$5</f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8" xml:space="preserve"> SUM(D30:D33)</f>
        <v>0</v>
      </c>
      <c r="E34" s="21">
        <f t="shared" si="8"/>
        <v>0</v>
      </c>
      <c r="F34" s="21">
        <f t="shared" si="8"/>
        <v>0</v>
      </c>
      <c r="G34" s="21">
        <f t="shared" si="8"/>
        <v>0</v>
      </c>
      <c r="H34" s="21">
        <f t="shared" si="8"/>
        <v>0</v>
      </c>
      <c r="I34" s="62">
        <f t="shared" si="8"/>
        <v>0</v>
      </c>
      <c r="J34" s="63">
        <f t="shared" si="8"/>
        <v>0</v>
      </c>
      <c r="K34" s="21">
        <f t="shared" si="8"/>
        <v>0</v>
      </c>
      <c r="L34" s="21">
        <f t="shared" si="8"/>
        <v>0</v>
      </c>
      <c r="M34" s="21">
        <f t="shared" si="8"/>
        <v>0</v>
      </c>
      <c r="N34" s="21">
        <f t="shared" si="8"/>
        <v>0</v>
      </c>
      <c r="O34" s="21">
        <f t="shared" si="8"/>
        <v>0</v>
      </c>
      <c r="P34" s="62">
        <f t="shared" si="8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9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10" xml:space="preserve"> C38 / C$36</f>
        <v>0</v>
      </c>
      <c r="D44" s="25">
        <f t="shared" ref="D44:D46" si="11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10"/>
        <v>0</v>
      </c>
      <c r="D45" s="25">
        <f t="shared" si="11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10"/>
        <v>0</v>
      </c>
      <c r="D46" s="25">
        <f t="shared" si="11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12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40" sqref="C40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B3" sqref="B3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2015-10-11T23:18:55Z</dcterms:modified>
</cp:coreProperties>
</file>
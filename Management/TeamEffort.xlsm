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3635" yWindow="-21615" windowWidth="38400" windowHeight="21135" tabRatio="695" activeTab="4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3" l="1"/>
  <c r="C4" i="44"/>
  <c r="C4" i="2"/>
  <c r="B2" i="43"/>
  <c r="B2" i="42"/>
  <c r="C4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D20" i="1"/>
  <c r="E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D19" i="1"/>
  <c r="E19" i="1"/>
  <c r="F19" i="1"/>
  <c r="G19" i="1"/>
  <c r="H19" i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/>
  <c r="E22" i="1"/>
  <c r="D21" i="1"/>
  <c r="E21" i="1"/>
  <c r="V17" i="1"/>
  <c r="R17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G11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<sst xmlns="http://schemas.openxmlformats.org/spreadsheetml/2006/main" count="294" uniqueCount="52">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</sst>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29635840"/>
        <c:axId val="-52963801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15.312999999999999</c:v>
                </c:pt>
                <c:pt idx="10">
                  <c:v>13.92090909090909</c:v>
                </c:pt>
                <c:pt idx="11">
                  <c:v>12.760833333333332</c:v>
                </c:pt>
                <c:pt idx="12">
                  <c:v>11.779230769230768</c:v>
                </c:pt>
                <c:pt idx="13">
                  <c:v>10.937857142857142</c:v>
                </c:pt>
                <c:pt idx="14">
                  <c:v>10.208666666666666</c:v>
                </c:pt>
                <c:pt idx="15">
                  <c:v>9.5706249999999997</c:v>
                </c:pt>
                <c:pt idx="16">
                  <c:v>9.0076470588235296</c:v>
                </c:pt>
                <c:pt idx="17">
                  <c:v>8.5072222222222216</c:v>
                </c:pt>
                <c:pt idx="18">
                  <c:v>8.0594736842105252</c:v>
                </c:pt>
                <c:pt idx="19">
                  <c:v>7.6564999999999994</c:v>
                </c:pt>
                <c:pt idx="20">
                  <c:v>7.2919047619047621</c:v>
                </c:pt>
                <c:pt idx="21">
                  <c:v>6.960454545454545</c:v>
                </c:pt>
                <c:pt idx="22">
                  <c:v>6.6578260869565211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29635840"/>
        <c:axId val="-529638016"/>
      </c:lineChart>
      <c:catAx>
        <c:axId val="-52963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29638016"/>
        <c:crosses val="autoZero"/>
        <c:auto val="0"/>
        <c:lblAlgn val="ctr"/>
        <c:lblOffset val="100"/>
        <c:noMultiLvlLbl val="0"/>
      </c:catAx>
      <c:valAx>
        <c:axId val="-5296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2963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29634752"/>
        <c:axId val="-52963257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5.75</c:v>
                </c:pt>
                <c:pt idx="2">
                  <c:v>5.8</c:v>
                </c:pt>
                <c:pt idx="3">
                  <c:v>6.0374999999999996</c:v>
                </c:pt>
                <c:pt idx="4">
                  <c:v>6.13</c:v>
                </c:pt>
                <c:pt idx="5">
                  <c:v>5.9416666666666664</c:v>
                </c:pt>
                <c:pt idx="6">
                  <c:v>6.5928571428571425</c:v>
                </c:pt>
                <c:pt idx="7">
                  <c:v>7.1437499999999998</c:v>
                </c:pt>
                <c:pt idx="8">
                  <c:v>7.3500000000000005</c:v>
                </c:pt>
                <c:pt idx="9">
                  <c:v>6.6150000000000002</c:v>
                </c:pt>
                <c:pt idx="10">
                  <c:v>6.0136363636363646</c:v>
                </c:pt>
                <c:pt idx="11">
                  <c:v>5.5125000000000002</c:v>
                </c:pt>
                <c:pt idx="12">
                  <c:v>5.088461538461539</c:v>
                </c:pt>
                <c:pt idx="13">
                  <c:v>4.7250000000000005</c:v>
                </c:pt>
                <c:pt idx="14">
                  <c:v>4.41</c:v>
                </c:pt>
                <c:pt idx="15">
                  <c:v>4.1343750000000004</c:v>
                </c:pt>
                <c:pt idx="16">
                  <c:v>3.8911764705882357</c:v>
                </c:pt>
                <c:pt idx="17">
                  <c:v>3.6750000000000003</c:v>
                </c:pt>
                <c:pt idx="18">
                  <c:v>3.4815789473684213</c:v>
                </c:pt>
                <c:pt idx="19">
                  <c:v>3.3075000000000001</c:v>
                </c:pt>
                <c:pt idx="20">
                  <c:v>3.1500000000000004</c:v>
                </c:pt>
                <c:pt idx="21">
                  <c:v>3.0068181818181823</c:v>
                </c:pt>
                <c:pt idx="22">
                  <c:v>2.8760869565217395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29634752"/>
        <c:axId val="-529632576"/>
      </c:lineChart>
      <c:catAx>
        <c:axId val="-529634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29632576"/>
        <c:crosses val="autoZero"/>
        <c:auto val="0"/>
        <c:lblAlgn val="ctr"/>
        <c:lblOffset val="100"/>
        <c:noMultiLvlLbl val="0"/>
      </c:catAx>
      <c:valAx>
        <c:axId val="-529632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29634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29627680"/>
        <c:axId val="-52962387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2.2050000000000001</c:v>
                </c:pt>
                <c:pt idx="2">
                  <c:v>2.97</c:v>
                </c:pt>
                <c:pt idx="3">
                  <c:v>2.4775</c:v>
                </c:pt>
                <c:pt idx="4">
                  <c:v>2.3820000000000001</c:v>
                </c:pt>
                <c:pt idx="5">
                  <c:v>2.3183333333333334</c:v>
                </c:pt>
                <c:pt idx="6">
                  <c:v>3.701857142857143</c:v>
                </c:pt>
                <c:pt idx="7">
                  <c:v>4.6141249999999996</c:v>
                </c:pt>
                <c:pt idx="8">
                  <c:v>4.9903333333333331</c:v>
                </c:pt>
                <c:pt idx="9">
                  <c:v>4.4912999999999998</c:v>
                </c:pt>
                <c:pt idx="10">
                  <c:v>4.0829999999999993</c:v>
                </c:pt>
                <c:pt idx="11">
                  <c:v>3.7427499999999996</c:v>
                </c:pt>
                <c:pt idx="12">
                  <c:v>3.4548461538461535</c:v>
                </c:pt>
                <c:pt idx="13">
                  <c:v>3.2080714285714285</c:v>
                </c:pt>
                <c:pt idx="14">
                  <c:v>2.9941999999999998</c:v>
                </c:pt>
                <c:pt idx="15">
                  <c:v>2.8070624999999998</c:v>
                </c:pt>
                <c:pt idx="16">
                  <c:v>2.641941176470588</c:v>
                </c:pt>
                <c:pt idx="17">
                  <c:v>2.4951666666666665</c:v>
                </c:pt>
                <c:pt idx="18">
                  <c:v>2.3638421052631577</c:v>
                </c:pt>
                <c:pt idx="19">
                  <c:v>2.2456499999999999</c:v>
                </c:pt>
                <c:pt idx="20">
                  <c:v>2.1387142857142853</c:v>
                </c:pt>
                <c:pt idx="21">
                  <c:v>2.0414999999999996</c:v>
                </c:pt>
                <c:pt idx="22">
                  <c:v>1.9527391304347825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29627680"/>
        <c:axId val="-529623872"/>
      </c:lineChart>
      <c:catAx>
        <c:axId val="-529627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29623872"/>
        <c:crosses val="autoZero"/>
        <c:auto val="0"/>
        <c:lblAlgn val="ctr"/>
        <c:lblOffset val="100"/>
        <c:noMultiLvlLbl val="0"/>
      </c:catAx>
      <c:valAx>
        <c:axId val="-529623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296276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29637472"/>
        <c:axId val="-53040606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1.5</c:v>
                </c:pt>
                <c:pt idx="2">
                  <c:v>2.6666666666666665</c:v>
                </c:pt>
                <c:pt idx="3">
                  <c:v>2.75</c:v>
                </c:pt>
                <c:pt idx="4">
                  <c:v>2.4</c:v>
                </c:pt>
                <c:pt idx="5">
                  <c:v>2.8445</c:v>
                </c:pt>
                <c:pt idx="6">
                  <c:v>3.2238571428571428</c:v>
                </c:pt>
                <c:pt idx="7">
                  <c:v>3.570875</c:v>
                </c:pt>
                <c:pt idx="8">
                  <c:v>3.7296666666666667</c:v>
                </c:pt>
                <c:pt idx="9">
                  <c:v>3.3567</c:v>
                </c:pt>
                <c:pt idx="10">
                  <c:v>3.0515454545454546</c:v>
                </c:pt>
                <c:pt idx="11">
                  <c:v>2.79725</c:v>
                </c:pt>
                <c:pt idx="12">
                  <c:v>2.5820769230769232</c:v>
                </c:pt>
                <c:pt idx="13">
                  <c:v>2.397642857142857</c:v>
                </c:pt>
                <c:pt idx="14">
                  <c:v>2.2378</c:v>
                </c:pt>
                <c:pt idx="15">
                  <c:v>2.0979375</c:v>
                </c:pt>
                <c:pt idx="16">
                  <c:v>1.9745294117647059</c:v>
                </c:pt>
                <c:pt idx="17">
                  <c:v>1.8648333333333333</c:v>
                </c:pt>
                <c:pt idx="18">
                  <c:v>1.7666842105263159</c:v>
                </c:pt>
                <c:pt idx="19">
                  <c:v>1.67835</c:v>
                </c:pt>
                <c:pt idx="20">
                  <c:v>1.5984285714285715</c:v>
                </c:pt>
                <c:pt idx="21">
                  <c:v>1.5257727272727273</c:v>
                </c:pt>
                <c:pt idx="22">
                  <c:v>1.4594347826086957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29637472"/>
        <c:axId val="-530406064"/>
      </c:lineChart>
      <c:catAx>
        <c:axId val="-529637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0406064"/>
        <c:crosses val="autoZero"/>
        <c:auto val="0"/>
        <c:lblAlgn val="ctr"/>
        <c:lblOffset val="100"/>
        <c:noMultiLvlLbl val="0"/>
      </c:catAx>
      <c:valAx>
        <c:axId val="-530406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29637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2803712"/>
        <c:axId val="-35281132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6.875</c:v>
                </c:pt>
                <c:pt idx="2">
                  <c:v>8.7166666666666668</c:v>
                </c:pt>
                <c:pt idx="3">
                  <c:v>8.1</c:v>
                </c:pt>
                <c:pt idx="4">
                  <c:v>7.08</c:v>
                </c:pt>
                <c:pt idx="5">
                  <c:v>5.8999999999999995</c:v>
                </c:pt>
                <c:pt idx="6">
                  <c:v>5.0571428571428569</c:v>
                </c:pt>
                <c:pt idx="7">
                  <c:v>4.4249999999999998</c:v>
                </c:pt>
                <c:pt idx="8">
                  <c:v>3.9333333333333331</c:v>
                </c:pt>
                <c:pt idx="9">
                  <c:v>3.54</c:v>
                </c:pt>
                <c:pt idx="10">
                  <c:v>3.2181818181818183</c:v>
                </c:pt>
                <c:pt idx="11">
                  <c:v>2.9499999999999997</c:v>
                </c:pt>
                <c:pt idx="12">
                  <c:v>2.7230769230769232</c:v>
                </c:pt>
                <c:pt idx="13">
                  <c:v>2.5285714285714285</c:v>
                </c:pt>
                <c:pt idx="14">
                  <c:v>2.36</c:v>
                </c:pt>
                <c:pt idx="15">
                  <c:v>2.2124999999999999</c:v>
                </c:pt>
                <c:pt idx="16">
                  <c:v>2.0823529411764703</c:v>
                </c:pt>
                <c:pt idx="17">
                  <c:v>1.9666666666666666</c:v>
                </c:pt>
                <c:pt idx="18">
                  <c:v>1.8631578947368421</c:v>
                </c:pt>
                <c:pt idx="19">
                  <c:v>1.77</c:v>
                </c:pt>
                <c:pt idx="20">
                  <c:v>1.6857142857142857</c:v>
                </c:pt>
                <c:pt idx="21">
                  <c:v>1.6090909090909091</c:v>
                </c:pt>
                <c:pt idx="22">
                  <c:v>1.5391304347826087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2803712"/>
        <c:axId val="-352811328"/>
      </c:lineChart>
      <c:catAx>
        <c:axId val="-35280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11328"/>
        <c:crosses val="autoZero"/>
        <c:auto val="0"/>
        <c:lblAlgn val="ctr"/>
        <c:lblOffset val="100"/>
        <c:noMultiLvlLbl val="0"/>
      </c:catAx>
      <c:valAx>
        <c:axId val="-352811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3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2804800"/>
        <c:axId val="-3528042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2804800"/>
        <c:axId val="-352804256"/>
      </c:lineChart>
      <c:catAx>
        <c:axId val="-352804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4256"/>
        <c:crosses val="autoZero"/>
        <c:auto val="1"/>
        <c:lblAlgn val="ctr"/>
        <c:lblOffset val="100"/>
        <c:noMultiLvlLbl val="1"/>
      </c:catAx>
      <c:valAx>
        <c:axId val="-35280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2806432"/>
        <c:axId val="-3528031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2806432"/>
        <c:axId val="-352803168"/>
      </c:lineChart>
      <c:catAx>
        <c:axId val="-35280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3168"/>
        <c:crosses val="autoZero"/>
        <c:auto val="1"/>
        <c:lblAlgn val="ctr"/>
        <c:lblOffset val="100"/>
        <c:noMultiLvlLbl val="1"/>
      </c:catAx>
      <c:valAx>
        <c:axId val="-352803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6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2810240"/>
        <c:axId val="-3528096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2810240"/>
        <c:axId val="-352809696"/>
      </c:lineChart>
      <c:catAx>
        <c:axId val="-35281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9696"/>
        <c:crosses val="autoZero"/>
        <c:auto val="1"/>
        <c:lblAlgn val="ctr"/>
        <c:lblOffset val="100"/>
        <c:noMultiLvlLbl val="1"/>
      </c:catAx>
      <c:valAx>
        <c:axId val="-352809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10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2808608"/>
        <c:axId val="-35280752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2808608"/>
        <c:axId val="-352807520"/>
      </c:lineChart>
      <c:catAx>
        <c:axId val="-35280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7520"/>
        <c:crosses val="autoZero"/>
        <c:auto val="1"/>
        <c:lblAlgn val="ctr"/>
        <c:lblOffset val="100"/>
        <c:noMultiLvlLbl val="1"/>
      </c:catAx>
      <c:valAx>
        <c:axId val="-3528075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08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2812416"/>
        <c:axId val="-35281350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2812416"/>
        <c:axId val="-352813504"/>
      </c:lineChart>
      <c:catAx>
        <c:axId val="-352812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13504"/>
        <c:crosses val="autoZero"/>
        <c:auto val="1"/>
        <c:lblAlgn val="ctr"/>
        <c:lblOffset val="100"/>
        <c:noMultiLvlLbl val="1"/>
      </c:catAx>
      <c:valAx>
        <c:axId val="-352813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12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2815136"/>
        <c:axId val="-352814592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2815136"/>
        <c:axId val="-352814592"/>
      </c:lineChart>
      <c:catAx>
        <c:axId val="-352815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14592"/>
        <c:crosses val="autoZero"/>
        <c:auto val="0"/>
        <c:lblAlgn val="ctr"/>
        <c:lblOffset val="100"/>
        <c:noMultiLvlLbl val="1"/>
      </c:catAx>
      <c:valAx>
        <c:axId val="-35281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281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1939296"/>
        <c:axId val="-35193548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1939296"/>
        <c:axId val="-351935488"/>
      </c:lineChart>
      <c:catAx>
        <c:axId val="-3519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5488"/>
        <c:crosses val="autoZero"/>
        <c:auto val="1"/>
        <c:lblAlgn val="ctr"/>
        <c:lblOffset val="100"/>
        <c:noMultiLvlLbl val="1"/>
      </c:catAx>
      <c:valAx>
        <c:axId val="-351935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9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1936576"/>
        <c:axId val="-35193440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1936576"/>
        <c:axId val="-351934400"/>
      </c:lineChart>
      <c:catAx>
        <c:axId val="-351936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4400"/>
        <c:crosses val="autoZero"/>
        <c:auto val="1"/>
        <c:lblAlgn val="ctr"/>
        <c:lblOffset val="100"/>
        <c:noMultiLvlLbl val="1"/>
      </c:catAx>
      <c:valAx>
        <c:axId val="-351934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6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1938752"/>
        <c:axId val="-35193603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1938752"/>
        <c:axId val="-351936032"/>
      </c:lineChart>
      <c:catAx>
        <c:axId val="-35193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6032"/>
        <c:crosses val="autoZero"/>
        <c:auto val="1"/>
        <c:lblAlgn val="ctr"/>
        <c:lblOffset val="100"/>
        <c:noMultiLvlLbl val="1"/>
      </c:catAx>
      <c:valAx>
        <c:axId val="-3519360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8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1937664"/>
        <c:axId val="-35193113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1937664"/>
        <c:axId val="-351931136"/>
      </c:lineChart>
      <c:catAx>
        <c:axId val="-35193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1136"/>
        <c:crosses val="autoZero"/>
        <c:auto val="1"/>
        <c:lblAlgn val="ctr"/>
        <c:lblOffset val="100"/>
        <c:noMultiLvlLbl val="1"/>
      </c:catAx>
      <c:valAx>
        <c:axId val="-351931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7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1931680"/>
        <c:axId val="-351938208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1931680"/>
        <c:axId val="-351938208"/>
      </c:lineChart>
      <c:catAx>
        <c:axId val="-35193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8208"/>
        <c:crosses val="autoZero"/>
        <c:auto val="0"/>
        <c:lblAlgn val="ctr"/>
        <c:lblOffset val="100"/>
        <c:noMultiLvlLbl val="1"/>
      </c:catAx>
      <c:valAx>
        <c:axId val="-35193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3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1945280"/>
        <c:axId val="-35194473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1945280"/>
        <c:axId val="-351944736"/>
      </c:lineChart>
      <c:catAx>
        <c:axId val="-35194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44736"/>
        <c:crosses val="autoZero"/>
        <c:auto val="1"/>
        <c:lblAlgn val="ctr"/>
        <c:lblOffset val="100"/>
        <c:noMultiLvlLbl val="1"/>
      </c:catAx>
      <c:valAx>
        <c:axId val="-35194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452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1943648"/>
        <c:axId val="-35194201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1943648"/>
        <c:axId val="-351942016"/>
      </c:lineChart>
      <c:catAx>
        <c:axId val="-35194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42016"/>
        <c:crosses val="autoZero"/>
        <c:auto val="1"/>
        <c:lblAlgn val="ctr"/>
        <c:lblOffset val="100"/>
        <c:noMultiLvlLbl val="1"/>
      </c:catAx>
      <c:valAx>
        <c:axId val="-3519420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1943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48128"/>
        <c:axId val="-35015628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48128"/>
        <c:axId val="-350156288"/>
      </c:lineChart>
      <c:catAx>
        <c:axId val="-350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6288"/>
        <c:crosses val="autoZero"/>
        <c:auto val="1"/>
        <c:lblAlgn val="ctr"/>
        <c:lblOffset val="100"/>
        <c:noMultiLvlLbl val="1"/>
      </c:catAx>
      <c:valAx>
        <c:axId val="-350156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481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55744"/>
        <c:axId val="-35015302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55744"/>
        <c:axId val="-350153024"/>
      </c:lineChart>
      <c:catAx>
        <c:axId val="-350155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3024"/>
        <c:crosses val="autoZero"/>
        <c:auto val="1"/>
        <c:lblAlgn val="ctr"/>
        <c:lblOffset val="100"/>
        <c:noMultiLvlLbl val="1"/>
      </c:catAx>
      <c:valAx>
        <c:axId val="-350153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57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52480"/>
        <c:axId val="-350154656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52480"/>
        <c:axId val="-350154656"/>
      </c:lineChart>
      <c:catAx>
        <c:axId val="-35015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4656"/>
        <c:crosses val="autoZero"/>
        <c:auto val="0"/>
        <c:lblAlgn val="ctr"/>
        <c:lblOffset val="100"/>
        <c:noMultiLvlLbl val="1"/>
      </c:catAx>
      <c:valAx>
        <c:axId val="-3501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54112"/>
        <c:axId val="-3501486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54112"/>
        <c:axId val="-350148672"/>
      </c:lineChart>
      <c:catAx>
        <c:axId val="-35015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48672"/>
        <c:crosses val="autoZero"/>
        <c:auto val="1"/>
        <c:lblAlgn val="ctr"/>
        <c:lblOffset val="100"/>
        <c:noMultiLvlLbl val="1"/>
      </c:catAx>
      <c:valAx>
        <c:axId val="-350148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4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62272"/>
        <c:axId val="-3501617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62272"/>
        <c:axId val="-350161728"/>
      </c:lineChart>
      <c:catAx>
        <c:axId val="-35016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61728"/>
        <c:crosses val="autoZero"/>
        <c:auto val="1"/>
        <c:lblAlgn val="ctr"/>
        <c:lblOffset val="100"/>
        <c:noMultiLvlLbl val="1"/>
      </c:catAx>
      <c:valAx>
        <c:axId val="-350161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62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59552"/>
        <c:axId val="-35016009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59552"/>
        <c:axId val="-350160096"/>
      </c:lineChart>
      <c:catAx>
        <c:axId val="-350159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60096"/>
        <c:crosses val="autoZero"/>
        <c:auto val="1"/>
        <c:lblAlgn val="ctr"/>
        <c:lblOffset val="100"/>
        <c:noMultiLvlLbl val="1"/>
      </c:catAx>
      <c:valAx>
        <c:axId val="-350160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9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59008"/>
        <c:axId val="-35015683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59008"/>
        <c:axId val="-350156832"/>
      </c:lineChart>
      <c:catAx>
        <c:axId val="-35015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6832"/>
        <c:crosses val="autoZero"/>
        <c:auto val="1"/>
        <c:lblAlgn val="ctr"/>
        <c:lblOffset val="100"/>
        <c:noMultiLvlLbl val="1"/>
      </c:catAx>
      <c:valAx>
        <c:axId val="-350156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590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0149760"/>
        <c:axId val="-34933140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0149760"/>
        <c:axId val="-349331408"/>
      </c:lineChart>
      <c:catAx>
        <c:axId val="-350149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1408"/>
        <c:crosses val="autoZero"/>
        <c:auto val="0"/>
        <c:lblAlgn val="ctr"/>
        <c:lblOffset val="100"/>
        <c:noMultiLvlLbl val="1"/>
      </c:catAx>
      <c:valAx>
        <c:axId val="-349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014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9339024"/>
        <c:axId val="-34933630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9339024"/>
        <c:axId val="-349336304"/>
      </c:lineChart>
      <c:catAx>
        <c:axId val="-349339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6304"/>
        <c:crosses val="autoZero"/>
        <c:auto val="1"/>
        <c:lblAlgn val="ctr"/>
        <c:lblOffset val="100"/>
        <c:noMultiLvlLbl val="1"/>
      </c:catAx>
      <c:valAx>
        <c:axId val="-34933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9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9341744"/>
        <c:axId val="-34932814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9341744"/>
        <c:axId val="-349328144"/>
      </c:lineChart>
      <c:catAx>
        <c:axId val="-34934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28144"/>
        <c:crosses val="autoZero"/>
        <c:auto val="1"/>
        <c:lblAlgn val="ctr"/>
        <c:lblOffset val="100"/>
        <c:noMultiLvlLbl val="1"/>
      </c:catAx>
      <c:valAx>
        <c:axId val="-349328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417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9339568"/>
        <c:axId val="-34932923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9339568"/>
        <c:axId val="-349329232"/>
      </c:lineChart>
      <c:catAx>
        <c:axId val="-34933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29232"/>
        <c:crosses val="autoZero"/>
        <c:auto val="1"/>
        <c:lblAlgn val="ctr"/>
        <c:lblOffset val="100"/>
        <c:noMultiLvlLbl val="1"/>
      </c:catAx>
      <c:valAx>
        <c:axId val="-349329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9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9335760"/>
        <c:axId val="-34933521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9335760"/>
        <c:axId val="-349335216"/>
      </c:lineChart>
      <c:catAx>
        <c:axId val="-34933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5216"/>
        <c:crosses val="autoZero"/>
        <c:auto val="1"/>
        <c:lblAlgn val="ctr"/>
        <c:lblOffset val="100"/>
        <c:noMultiLvlLbl val="1"/>
      </c:catAx>
      <c:valAx>
        <c:axId val="-349335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5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9340112"/>
        <c:axId val="-349343376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9340112"/>
        <c:axId val="-349343376"/>
      </c:lineChart>
      <c:catAx>
        <c:axId val="-34934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43376"/>
        <c:crosses val="autoZero"/>
        <c:auto val="0"/>
        <c:lblAlgn val="ctr"/>
        <c:lblOffset val="100"/>
        <c:noMultiLvlLbl val="1"/>
      </c:catAx>
      <c:valAx>
        <c:axId val="-34934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4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9342288"/>
        <c:axId val="-34934120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9342288"/>
        <c:axId val="-349341200"/>
      </c:lineChart>
      <c:catAx>
        <c:axId val="-34934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41200"/>
        <c:crosses val="autoZero"/>
        <c:auto val="1"/>
        <c:lblAlgn val="ctr"/>
        <c:lblOffset val="100"/>
        <c:noMultiLvlLbl val="1"/>
      </c:catAx>
      <c:valAx>
        <c:axId val="-349341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42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9337936"/>
        <c:axId val="-34933358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9337936"/>
        <c:axId val="-349333584"/>
      </c:lineChart>
      <c:catAx>
        <c:axId val="-349337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3584"/>
        <c:crosses val="autoZero"/>
        <c:auto val="1"/>
        <c:lblAlgn val="ctr"/>
        <c:lblOffset val="100"/>
        <c:noMultiLvlLbl val="1"/>
      </c:catAx>
      <c:valAx>
        <c:axId val="-349333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93379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8302976"/>
        <c:axId val="-34830080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8302976"/>
        <c:axId val="-348300800"/>
      </c:lineChart>
      <c:catAx>
        <c:axId val="-348302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300800"/>
        <c:crosses val="autoZero"/>
        <c:auto val="1"/>
        <c:lblAlgn val="ctr"/>
        <c:lblOffset val="100"/>
        <c:noMultiLvlLbl val="1"/>
      </c:catAx>
      <c:valAx>
        <c:axId val="-348300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302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8301344"/>
        <c:axId val="-34830188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8301344"/>
        <c:axId val="-348301888"/>
      </c:lineChart>
      <c:catAx>
        <c:axId val="-34830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301888"/>
        <c:crosses val="autoZero"/>
        <c:auto val="1"/>
        <c:lblAlgn val="ctr"/>
        <c:lblOffset val="100"/>
        <c:noMultiLvlLbl val="1"/>
      </c:catAx>
      <c:valAx>
        <c:axId val="-3483018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301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8299712"/>
        <c:axId val="-348292096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8299712"/>
        <c:axId val="-348292096"/>
      </c:lineChart>
      <c:catAx>
        <c:axId val="-34829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292096"/>
        <c:crosses val="autoZero"/>
        <c:auto val="0"/>
        <c:lblAlgn val="ctr"/>
        <c:lblOffset val="100"/>
        <c:noMultiLvlLbl val="1"/>
      </c:catAx>
      <c:valAx>
        <c:axId val="-3482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29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8298624"/>
        <c:axId val="-34829808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8298624"/>
        <c:axId val="-348298080"/>
      </c:lineChart>
      <c:catAx>
        <c:axId val="-34829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298080"/>
        <c:crosses val="autoZero"/>
        <c:auto val="1"/>
        <c:lblAlgn val="ctr"/>
        <c:lblOffset val="100"/>
        <c:noMultiLvlLbl val="1"/>
      </c:catAx>
      <c:valAx>
        <c:axId val="-348298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2986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8307328"/>
        <c:axId val="-34829644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8307328"/>
        <c:axId val="-348296448"/>
      </c:lineChart>
      <c:catAx>
        <c:axId val="-34830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296448"/>
        <c:crosses val="autoZero"/>
        <c:auto val="1"/>
        <c:lblAlgn val="ctr"/>
        <c:lblOffset val="100"/>
        <c:noMultiLvlLbl val="1"/>
      </c:catAx>
      <c:valAx>
        <c:axId val="-348296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307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8295904"/>
        <c:axId val="-34829481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8295904"/>
        <c:axId val="-348294816"/>
      </c:lineChart>
      <c:catAx>
        <c:axId val="-34829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294816"/>
        <c:crosses val="autoZero"/>
        <c:auto val="1"/>
        <c:lblAlgn val="ctr"/>
        <c:lblOffset val="100"/>
        <c:noMultiLvlLbl val="1"/>
      </c:catAx>
      <c:valAx>
        <c:axId val="-34829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295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48305152"/>
        <c:axId val="-34830460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48305152"/>
        <c:axId val="-348304608"/>
      </c:lineChart>
      <c:catAx>
        <c:axId val="-348305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304608"/>
        <c:crosses val="autoZero"/>
        <c:auto val="1"/>
        <c:lblAlgn val="ctr"/>
        <c:lblOffset val="100"/>
        <c:noMultiLvlLbl val="1"/>
      </c:catAx>
      <c:valAx>
        <c:axId val="-348304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8305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68944"/>
        <c:axId val="-33026840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68944"/>
        <c:axId val="-330268400"/>
      </c:lineChart>
      <c:catAx>
        <c:axId val="-33026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8400"/>
        <c:crosses val="autoZero"/>
        <c:auto val="0"/>
        <c:lblAlgn val="ctr"/>
        <c:lblOffset val="100"/>
        <c:noMultiLvlLbl val="1"/>
      </c:catAx>
      <c:valAx>
        <c:axId val="-3302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80912"/>
        <c:axId val="-33027384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80912"/>
        <c:axId val="-330273840"/>
      </c:lineChart>
      <c:catAx>
        <c:axId val="-33028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3840"/>
        <c:crosses val="autoZero"/>
        <c:auto val="1"/>
        <c:lblAlgn val="ctr"/>
        <c:lblOffset val="100"/>
        <c:noMultiLvlLbl val="1"/>
      </c:catAx>
      <c:valAx>
        <c:axId val="-33027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80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62960"/>
        <c:axId val="-3302662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62960"/>
        <c:axId val="-330266224"/>
      </c:lineChart>
      <c:catAx>
        <c:axId val="-330262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6224"/>
        <c:crosses val="autoZero"/>
        <c:auto val="1"/>
        <c:lblAlgn val="ctr"/>
        <c:lblOffset val="100"/>
        <c:noMultiLvlLbl val="1"/>
      </c:catAx>
      <c:valAx>
        <c:axId val="-33026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2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84176"/>
        <c:axId val="-33026513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84176"/>
        <c:axId val="-330265136"/>
      </c:lineChart>
      <c:catAx>
        <c:axId val="-330284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5136"/>
        <c:crosses val="autoZero"/>
        <c:auto val="1"/>
        <c:lblAlgn val="ctr"/>
        <c:lblOffset val="100"/>
        <c:noMultiLvlLbl val="1"/>
      </c:catAx>
      <c:valAx>
        <c:axId val="-330265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841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83088"/>
        <c:axId val="-33025969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83088"/>
        <c:axId val="-330259696"/>
      </c:lineChart>
      <c:catAx>
        <c:axId val="-33028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59696"/>
        <c:crosses val="autoZero"/>
        <c:auto val="1"/>
        <c:lblAlgn val="ctr"/>
        <c:lblOffset val="100"/>
        <c:noMultiLvlLbl val="1"/>
      </c:catAx>
      <c:valAx>
        <c:axId val="-330259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83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66768"/>
        <c:axId val="-330279824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66768"/>
        <c:axId val="-330279824"/>
      </c:lineChart>
      <c:catAx>
        <c:axId val="-33026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9824"/>
        <c:crosses val="autoZero"/>
        <c:auto val="0"/>
        <c:lblAlgn val="ctr"/>
        <c:lblOffset val="100"/>
        <c:noMultiLvlLbl val="1"/>
      </c:catAx>
      <c:valAx>
        <c:axId val="-33027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72752"/>
        <c:axId val="-3302640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72752"/>
        <c:axId val="-330264048"/>
      </c:lineChart>
      <c:catAx>
        <c:axId val="-330272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4048"/>
        <c:crosses val="autoZero"/>
        <c:auto val="1"/>
        <c:lblAlgn val="ctr"/>
        <c:lblOffset val="100"/>
        <c:noMultiLvlLbl val="1"/>
      </c:catAx>
      <c:valAx>
        <c:axId val="-3302640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2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76560"/>
        <c:axId val="-33027819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76560"/>
        <c:axId val="-330278192"/>
      </c:lineChart>
      <c:catAx>
        <c:axId val="-33027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8192"/>
        <c:crosses val="autoZero"/>
        <c:auto val="1"/>
        <c:lblAlgn val="ctr"/>
        <c:lblOffset val="100"/>
        <c:noMultiLvlLbl val="1"/>
      </c:catAx>
      <c:valAx>
        <c:axId val="-3302781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6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62416"/>
        <c:axId val="-33027057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62416"/>
        <c:axId val="-330270576"/>
      </c:lineChart>
      <c:catAx>
        <c:axId val="-330262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0576"/>
        <c:crosses val="autoZero"/>
        <c:auto val="1"/>
        <c:lblAlgn val="ctr"/>
        <c:lblOffset val="100"/>
        <c:noMultiLvlLbl val="1"/>
      </c:catAx>
      <c:valAx>
        <c:axId val="-330270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2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60784"/>
        <c:axId val="-33027547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60784"/>
        <c:axId val="-330275472"/>
      </c:lineChart>
      <c:catAx>
        <c:axId val="-33026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5472"/>
        <c:crosses val="autoZero"/>
        <c:auto val="1"/>
        <c:lblAlgn val="ctr"/>
        <c:lblOffset val="100"/>
        <c:noMultiLvlLbl val="1"/>
      </c:catAx>
      <c:valAx>
        <c:axId val="-330275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60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70032"/>
        <c:axId val="-330277648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70032"/>
        <c:axId val="-330277648"/>
      </c:lineChart>
      <c:catAx>
        <c:axId val="-330270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7648"/>
        <c:crosses val="autoZero"/>
        <c:auto val="0"/>
        <c:lblAlgn val="ctr"/>
        <c:lblOffset val="100"/>
        <c:noMultiLvlLbl val="1"/>
      </c:catAx>
      <c:valAx>
        <c:axId val="-3302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58608"/>
        <c:axId val="-3302580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58608"/>
        <c:axId val="-330258064"/>
      </c:lineChart>
      <c:catAx>
        <c:axId val="-33025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58064"/>
        <c:crosses val="autoZero"/>
        <c:auto val="1"/>
        <c:lblAlgn val="ctr"/>
        <c:lblOffset val="100"/>
        <c:noMultiLvlLbl val="1"/>
      </c:catAx>
      <c:valAx>
        <c:axId val="-330258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58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53168"/>
        <c:axId val="-33025480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53168"/>
        <c:axId val="-330254800"/>
      </c:lineChart>
      <c:catAx>
        <c:axId val="-330253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54800"/>
        <c:crosses val="autoZero"/>
        <c:auto val="1"/>
        <c:lblAlgn val="ctr"/>
        <c:lblOffset val="100"/>
        <c:noMultiLvlLbl val="1"/>
      </c:catAx>
      <c:valAx>
        <c:axId val="-330254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53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81456"/>
        <c:axId val="-33027873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81456"/>
        <c:axId val="-330278736"/>
      </c:lineChart>
      <c:catAx>
        <c:axId val="-33028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8736"/>
        <c:crosses val="autoZero"/>
        <c:auto val="1"/>
        <c:lblAlgn val="ctr"/>
        <c:lblOffset val="100"/>
        <c:noMultiLvlLbl val="1"/>
      </c:catAx>
      <c:valAx>
        <c:axId val="-330278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81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30274928"/>
        <c:axId val="-33027438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274928"/>
        <c:axId val="-330274384"/>
      </c:lineChart>
      <c:catAx>
        <c:axId val="-33027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4384"/>
        <c:crosses val="autoZero"/>
        <c:auto val="1"/>
        <c:lblAlgn val="ctr"/>
        <c:lblOffset val="100"/>
        <c:noMultiLvlLbl val="1"/>
      </c:catAx>
      <c:valAx>
        <c:axId val="-330274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0274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28130368"/>
        <c:axId val="-328104256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30368"/>
        <c:axId val="-328104256"/>
      </c:lineChart>
      <c:catAx>
        <c:axId val="-328130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04256"/>
        <c:crosses val="autoZero"/>
        <c:auto val="0"/>
        <c:lblAlgn val="ctr"/>
        <c:lblOffset val="100"/>
        <c:noMultiLvlLbl val="1"/>
      </c:catAx>
      <c:valAx>
        <c:axId val="-32810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3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28129824"/>
        <c:axId val="-32811948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29824"/>
        <c:axId val="-328119488"/>
      </c:lineChart>
      <c:catAx>
        <c:axId val="-328129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19488"/>
        <c:crosses val="autoZero"/>
        <c:auto val="1"/>
        <c:lblAlgn val="ctr"/>
        <c:lblOffset val="100"/>
        <c:noMultiLvlLbl val="1"/>
      </c:catAx>
      <c:valAx>
        <c:axId val="-328119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29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28121120"/>
        <c:axId val="-32812492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21120"/>
        <c:axId val="-328124928"/>
      </c:lineChart>
      <c:catAx>
        <c:axId val="-32812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24928"/>
        <c:crosses val="autoZero"/>
        <c:auto val="1"/>
        <c:lblAlgn val="ctr"/>
        <c:lblOffset val="100"/>
        <c:noMultiLvlLbl val="1"/>
      </c:catAx>
      <c:valAx>
        <c:axId val="-328124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21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28106432"/>
        <c:axId val="-32811731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06432"/>
        <c:axId val="-328117312"/>
      </c:lineChart>
      <c:catAx>
        <c:axId val="-32810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17312"/>
        <c:crosses val="autoZero"/>
        <c:auto val="1"/>
        <c:lblAlgn val="ctr"/>
        <c:lblOffset val="100"/>
        <c:noMultiLvlLbl val="1"/>
      </c:catAx>
      <c:valAx>
        <c:axId val="-328117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06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28105888"/>
        <c:axId val="-3281151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05888"/>
        <c:axId val="-328115136"/>
      </c:lineChart>
      <c:catAx>
        <c:axId val="-32810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15136"/>
        <c:crosses val="autoZero"/>
        <c:auto val="1"/>
        <c:lblAlgn val="ctr"/>
        <c:lblOffset val="100"/>
        <c:noMultiLvlLbl val="1"/>
      </c:catAx>
      <c:valAx>
        <c:axId val="-328115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28105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E23" workbookViewId="0">
      <selection activeCell="S32" sqref="S3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6" t="s">
        <v>24</v>
      </c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3" t="s">
        <v>22</v>
      </c>
      <c r="D3" s="74"/>
      <c r="E3" s="74"/>
      <c r="F3" s="74"/>
      <c r="G3" s="74"/>
      <c r="H3" s="74"/>
      <c r="I3" s="74"/>
      <c r="J3" s="74"/>
      <c r="K3" s="74"/>
      <c r="L3" s="74"/>
      <c r="M3" s="74"/>
      <c r="N3" s="74" t="s">
        <v>23</v>
      </c>
      <c r="O3" s="74"/>
      <c r="P3" s="74"/>
      <c r="Q3" s="74"/>
      <c r="R3" s="74"/>
      <c r="S3" s="74"/>
      <c r="T3" s="74"/>
      <c r="U3" s="74"/>
      <c r="V3" s="74"/>
      <c r="W3" s="74"/>
      <c r="X3" s="74"/>
      <c r="Y3" s="75"/>
    </row>
    <row r="4" spans="1:25" ht="15.75" x14ac:dyDescent="0.25">
      <c r="C4" s="72" t="s">
        <v>12</v>
      </c>
      <c r="D4" s="72"/>
      <c r="E4" s="72"/>
      <c r="F4" s="72" t="s">
        <v>11</v>
      </c>
      <c r="G4" s="72"/>
      <c r="H4" s="72" t="s">
        <v>13</v>
      </c>
      <c r="I4" s="72"/>
      <c r="J4" s="72" t="s">
        <v>14</v>
      </c>
      <c r="K4" s="72"/>
      <c r="L4" s="78" t="s">
        <v>15</v>
      </c>
      <c r="M4" s="79"/>
      <c r="N4" s="79" t="s">
        <v>16</v>
      </c>
      <c r="O4" s="80"/>
      <c r="P4" s="72" t="s">
        <v>17</v>
      </c>
      <c r="Q4" s="72"/>
      <c r="R4" s="72" t="s">
        <v>18</v>
      </c>
      <c r="S4" s="72"/>
      <c r="T4" s="72" t="s">
        <v>19</v>
      </c>
      <c r="U4" s="72"/>
      <c r="V4" s="72" t="s">
        <v>20</v>
      </c>
      <c r="W4" s="72"/>
      <c r="X4" s="72" t="s">
        <v>21</v>
      </c>
      <c r="Y4" s="72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0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0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0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0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0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 x14ac:dyDescent="0.25">
      <c r="A12" s="6"/>
      <c r="M12" s="49"/>
      <c r="N12" s="50"/>
    </row>
    <row r="13" spans="1:25" x14ac:dyDescent="0.25">
      <c r="A13" s="70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0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0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0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0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 x14ac:dyDescent="0.25">
      <c r="M18" s="49"/>
      <c r="N18" s="50"/>
    </row>
    <row r="19" spans="1:25" x14ac:dyDescent="0.25">
      <c r="A19" s="71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D14</f>
        <v>11.5</v>
      </c>
      <c r="E19" s="25">
        <f t="shared" ref="E19:Y22" si="25" xml:space="preserve"> D19 + E7 + E14</f>
        <v>17.399999999999999</v>
      </c>
      <c r="F19" s="25">
        <f t="shared" si="25"/>
        <v>24.15</v>
      </c>
      <c r="G19" s="25">
        <f t="shared" si="25"/>
        <v>30.65</v>
      </c>
      <c r="H19" s="25">
        <f t="shared" si="25"/>
        <v>35.65</v>
      </c>
      <c r="I19" s="25">
        <f t="shared" si="25"/>
        <v>46.15</v>
      </c>
      <c r="J19" s="25">
        <f t="shared" si="25"/>
        <v>57.15</v>
      </c>
      <c r="K19" s="25">
        <f t="shared" si="25"/>
        <v>66.150000000000006</v>
      </c>
      <c r="L19" s="25">
        <f t="shared" si="25"/>
        <v>66.150000000000006</v>
      </c>
      <c r="M19" s="45">
        <f t="shared" si="25"/>
        <v>66.150000000000006</v>
      </c>
      <c r="N19" s="46">
        <f t="shared" si="25"/>
        <v>66.150000000000006</v>
      </c>
      <c r="O19" s="25">
        <f t="shared" si="25"/>
        <v>66.150000000000006</v>
      </c>
      <c r="P19" s="25">
        <f t="shared" si="25"/>
        <v>66.150000000000006</v>
      </c>
      <c r="Q19" s="25">
        <f t="shared" si="25"/>
        <v>66.150000000000006</v>
      </c>
      <c r="R19" s="25">
        <f t="shared" si="25"/>
        <v>66.150000000000006</v>
      </c>
      <c r="S19" s="25">
        <f t="shared" si="25"/>
        <v>66.150000000000006</v>
      </c>
      <c r="T19" s="25">
        <f t="shared" si="25"/>
        <v>66.150000000000006</v>
      </c>
      <c r="U19" s="25">
        <f t="shared" si="25"/>
        <v>66.150000000000006</v>
      </c>
      <c r="V19" s="25">
        <f t="shared" si="25"/>
        <v>66.150000000000006</v>
      </c>
      <c r="W19" s="25">
        <f t="shared" si="25"/>
        <v>66.150000000000006</v>
      </c>
      <c r="X19" s="25">
        <f t="shared" si="25"/>
        <v>66.150000000000006</v>
      </c>
      <c r="Y19" s="25">
        <f t="shared" si="25"/>
        <v>66.150000000000006</v>
      </c>
    </row>
    <row r="20" spans="1:25" x14ac:dyDescent="0.25">
      <c r="A20" s="71"/>
      <c r="B20" s="8" t="str">
        <f xml:space="preserve"> CONCATENATE(Setup!$B$8, ", ", LEFT(Setup!$C$8,2))</f>
        <v>Spencer, SS</v>
      </c>
      <c r="C20" s="25">
        <f t="shared" ref="C20:C22" si="26" xml:space="preserve"> C8 + C14</f>
        <v>2.66</v>
      </c>
      <c r="D20" s="25">
        <f t="shared" ref="D20:S22" si="27" xml:space="preserve"> C20 + D8 + D15</f>
        <v>4.41</v>
      </c>
      <c r="E20" s="25">
        <f t="shared" si="27"/>
        <v>8.91</v>
      </c>
      <c r="F20" s="25">
        <f t="shared" si="27"/>
        <v>9.91</v>
      </c>
      <c r="G20" s="25">
        <f t="shared" si="27"/>
        <v>11.91</v>
      </c>
      <c r="H20" s="25">
        <f t="shared" si="27"/>
        <v>13.91</v>
      </c>
      <c r="I20" s="25">
        <f t="shared" si="27"/>
        <v>25.913</v>
      </c>
      <c r="J20" s="25">
        <f t="shared" si="27"/>
        <v>36.912999999999997</v>
      </c>
      <c r="K20" s="25">
        <f t="shared" si="27"/>
        <v>44.912999999999997</v>
      </c>
      <c r="L20" s="25">
        <f t="shared" si="27"/>
        <v>44.912999999999997</v>
      </c>
      <c r="M20" s="45">
        <f t="shared" si="27"/>
        <v>44.912999999999997</v>
      </c>
      <c r="N20" s="46">
        <f t="shared" si="27"/>
        <v>44.912999999999997</v>
      </c>
      <c r="O20" s="25">
        <f t="shared" si="27"/>
        <v>44.912999999999997</v>
      </c>
      <c r="P20" s="25">
        <f t="shared" si="27"/>
        <v>44.912999999999997</v>
      </c>
      <c r="Q20" s="25">
        <f t="shared" si="27"/>
        <v>44.912999999999997</v>
      </c>
      <c r="R20" s="25">
        <f t="shared" si="27"/>
        <v>44.912999999999997</v>
      </c>
      <c r="S20" s="25">
        <f t="shared" si="27"/>
        <v>44.912999999999997</v>
      </c>
      <c r="T20" s="25">
        <f t="shared" si="25"/>
        <v>44.912999999999997</v>
      </c>
      <c r="U20" s="25">
        <f t="shared" si="25"/>
        <v>44.912999999999997</v>
      </c>
      <c r="V20" s="25">
        <f t="shared" si="25"/>
        <v>44.912999999999997</v>
      </c>
      <c r="W20" s="25">
        <f t="shared" si="25"/>
        <v>44.912999999999997</v>
      </c>
      <c r="X20" s="25">
        <f t="shared" si="25"/>
        <v>44.912999999999997</v>
      </c>
      <c r="Y20" s="25">
        <f t="shared" si="25"/>
        <v>44.912999999999997</v>
      </c>
    </row>
    <row r="21" spans="1:25" x14ac:dyDescent="0.25">
      <c r="A21" s="71"/>
      <c r="B21" s="8" t="str">
        <f xml:space="preserve"> CONCATENATE(Setup!$B$9, ", ", LEFT(Setup!$C$9,2))</f>
        <v>Dylan, DW</v>
      </c>
      <c r="C21" s="25">
        <f t="shared" si="26"/>
        <v>1.25</v>
      </c>
      <c r="D21" s="25">
        <f t="shared" si="27"/>
        <v>3</v>
      </c>
      <c r="E21" s="25">
        <f t="shared" si="25"/>
        <v>8</v>
      </c>
      <c r="F21" s="25">
        <f t="shared" si="25"/>
        <v>11</v>
      </c>
      <c r="G21" s="25">
        <f t="shared" si="25"/>
        <v>12</v>
      </c>
      <c r="H21" s="25">
        <f t="shared" si="25"/>
        <v>17.067</v>
      </c>
      <c r="I21" s="25">
        <f t="shared" si="25"/>
        <v>22.567</v>
      </c>
      <c r="J21" s="25">
        <f t="shared" si="25"/>
        <v>28.567</v>
      </c>
      <c r="K21" s="25">
        <f t="shared" si="25"/>
        <v>33.567</v>
      </c>
      <c r="L21" s="25">
        <f t="shared" si="25"/>
        <v>33.567</v>
      </c>
      <c r="M21" s="45">
        <f t="shared" si="25"/>
        <v>33.567</v>
      </c>
      <c r="N21" s="46">
        <f t="shared" si="25"/>
        <v>33.567</v>
      </c>
      <c r="O21" s="25">
        <f t="shared" si="25"/>
        <v>33.567</v>
      </c>
      <c r="P21" s="25">
        <f t="shared" si="25"/>
        <v>33.567</v>
      </c>
      <c r="Q21" s="25">
        <f t="shared" si="25"/>
        <v>33.567</v>
      </c>
      <c r="R21" s="25">
        <f t="shared" si="25"/>
        <v>33.567</v>
      </c>
      <c r="S21" s="25">
        <f t="shared" si="25"/>
        <v>33.567</v>
      </c>
      <c r="T21" s="25">
        <f t="shared" si="25"/>
        <v>33.567</v>
      </c>
      <c r="U21" s="25">
        <f t="shared" si="25"/>
        <v>33.567</v>
      </c>
      <c r="V21" s="25">
        <f t="shared" si="25"/>
        <v>33.567</v>
      </c>
      <c r="W21" s="25">
        <f t="shared" si="25"/>
        <v>33.567</v>
      </c>
      <c r="X21" s="25">
        <f t="shared" si="25"/>
        <v>33.567</v>
      </c>
      <c r="Y21" s="25">
        <f t="shared" si="25"/>
        <v>33.567</v>
      </c>
    </row>
    <row r="22" spans="1:25" x14ac:dyDescent="0.25">
      <c r="A22" s="71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13.75</v>
      </c>
      <c r="E22" s="25">
        <f t="shared" si="25"/>
        <v>26.15</v>
      </c>
      <c r="F22" s="25">
        <f t="shared" si="25"/>
        <v>32.4</v>
      </c>
      <c r="G22" s="25">
        <f t="shared" si="25"/>
        <v>35.4</v>
      </c>
      <c r="H22" s="25">
        <f t="shared" si="25"/>
        <v>35.4</v>
      </c>
      <c r="I22" s="25">
        <f t="shared" si="25"/>
        <v>35.4</v>
      </c>
      <c r="J22" s="25">
        <f t="shared" si="25"/>
        <v>35.4</v>
      </c>
      <c r="K22" s="25">
        <f t="shared" si="25"/>
        <v>35.4</v>
      </c>
      <c r="L22" s="25">
        <f t="shared" si="25"/>
        <v>35.4</v>
      </c>
      <c r="M22" s="45">
        <f t="shared" si="25"/>
        <v>35.4</v>
      </c>
      <c r="N22" s="46">
        <f t="shared" si="25"/>
        <v>35.4</v>
      </c>
      <c r="O22" s="25">
        <f t="shared" si="25"/>
        <v>35.4</v>
      </c>
      <c r="P22" s="25">
        <f t="shared" si="25"/>
        <v>35.4</v>
      </c>
      <c r="Q22" s="25">
        <f t="shared" si="25"/>
        <v>35.4</v>
      </c>
      <c r="R22" s="25">
        <f t="shared" si="25"/>
        <v>35.4</v>
      </c>
      <c r="S22" s="25">
        <f t="shared" si="25"/>
        <v>35.4</v>
      </c>
      <c r="T22" s="25">
        <f t="shared" si="25"/>
        <v>35.4</v>
      </c>
      <c r="U22" s="25">
        <f t="shared" si="25"/>
        <v>35.4</v>
      </c>
      <c r="V22" s="25">
        <f t="shared" si="25"/>
        <v>35.4</v>
      </c>
      <c r="W22" s="25">
        <f t="shared" si="25"/>
        <v>35.4</v>
      </c>
      <c r="X22" s="25">
        <f t="shared" si="25"/>
        <v>35.4</v>
      </c>
      <c r="Y22" s="25">
        <f t="shared" si="25"/>
        <v>35.4</v>
      </c>
    </row>
    <row r="23" spans="1:25" ht="15.75" x14ac:dyDescent="0.25">
      <c r="A23" s="71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28" xml:space="preserve"> D23 + E11 + E17</f>
        <v>41.81</v>
      </c>
      <c r="F23" s="21">
        <f t="shared" si="28"/>
        <v>52.56</v>
      </c>
      <c r="G23" s="21">
        <f t="shared" si="28"/>
        <v>63.06</v>
      </c>
      <c r="H23" s="21">
        <f t="shared" si="28"/>
        <v>75.12700000000001</v>
      </c>
      <c r="I23" s="21">
        <f t="shared" si="28"/>
        <v>103.13000000000001</v>
      </c>
      <c r="J23" s="21">
        <f t="shared" si="28"/>
        <v>131.13</v>
      </c>
      <c r="K23" s="21">
        <f t="shared" si="28"/>
        <v>153.13</v>
      </c>
      <c r="L23" s="21">
        <f t="shared" si="28"/>
        <v>153.13</v>
      </c>
      <c r="M23" s="47">
        <f t="shared" si="28"/>
        <v>153.13</v>
      </c>
      <c r="N23" s="48">
        <f t="shared" si="28"/>
        <v>153.13</v>
      </c>
      <c r="O23" s="21">
        <f t="shared" si="28"/>
        <v>153.13</v>
      </c>
      <c r="P23" s="21">
        <f t="shared" si="28"/>
        <v>153.13</v>
      </c>
      <c r="Q23" s="21">
        <f t="shared" si="28"/>
        <v>153.13</v>
      </c>
      <c r="R23" s="21">
        <f t="shared" si="28"/>
        <v>153.13</v>
      </c>
      <c r="S23" s="21">
        <f t="shared" si="28"/>
        <v>153.13</v>
      </c>
      <c r="T23" s="21">
        <f t="shared" si="28"/>
        <v>153.13</v>
      </c>
      <c r="U23" s="21">
        <f t="shared" si="28"/>
        <v>153.13</v>
      </c>
      <c r="V23" s="21">
        <f t="shared" si="28"/>
        <v>153.13</v>
      </c>
      <c r="W23" s="21">
        <f t="shared" si="28"/>
        <v>153.13</v>
      </c>
      <c r="X23" s="21">
        <f t="shared" si="28"/>
        <v>153.13</v>
      </c>
      <c r="Y23" s="21">
        <f t="shared" si="28"/>
        <v>153.13</v>
      </c>
    </row>
    <row r="24" spans="1:25" ht="15.75" x14ac:dyDescent="0.25">
      <c r="A24" s="19"/>
      <c r="B24" s="20"/>
      <c r="M24" s="49"/>
      <c r="N24" s="50"/>
    </row>
    <row r="25" spans="1:25" x14ac:dyDescent="0.25">
      <c r="A25" s="71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29" xml:space="preserve"> D19 / D$6</f>
        <v>5.75</v>
      </c>
      <c r="E25" s="29">
        <f t="shared" si="29"/>
        <v>5.8</v>
      </c>
      <c r="F25" s="29">
        <f t="shared" ref="F25:Y25" si="30" xml:space="preserve"> F19 / F$6</f>
        <v>6.0374999999999996</v>
      </c>
      <c r="G25" s="29">
        <f t="shared" si="30"/>
        <v>6.13</v>
      </c>
      <c r="H25" s="29">
        <f t="shared" si="30"/>
        <v>5.9416666666666664</v>
      </c>
      <c r="I25" s="29">
        <f t="shared" si="30"/>
        <v>6.5928571428571425</v>
      </c>
      <c r="J25" s="29">
        <f t="shared" si="30"/>
        <v>7.1437499999999998</v>
      </c>
      <c r="K25" s="29">
        <f t="shared" si="30"/>
        <v>7.3500000000000005</v>
      </c>
      <c r="L25" s="29">
        <f t="shared" si="30"/>
        <v>6.6150000000000002</v>
      </c>
      <c r="M25" s="51">
        <f t="shared" si="30"/>
        <v>6.0136363636363646</v>
      </c>
      <c r="N25" s="52">
        <f t="shared" si="30"/>
        <v>5.5125000000000002</v>
      </c>
      <c r="O25" s="29">
        <f t="shared" si="30"/>
        <v>5.088461538461539</v>
      </c>
      <c r="P25" s="29">
        <f t="shared" si="30"/>
        <v>4.7250000000000005</v>
      </c>
      <c r="Q25" s="29">
        <f t="shared" si="30"/>
        <v>4.41</v>
      </c>
      <c r="R25" s="29">
        <f t="shared" si="30"/>
        <v>4.1343750000000004</v>
      </c>
      <c r="S25" s="29">
        <f t="shared" si="30"/>
        <v>3.8911764705882357</v>
      </c>
      <c r="T25" s="29">
        <f t="shared" si="30"/>
        <v>3.6750000000000003</v>
      </c>
      <c r="U25" s="29">
        <f t="shared" si="30"/>
        <v>3.4815789473684213</v>
      </c>
      <c r="V25" s="29">
        <f t="shared" si="30"/>
        <v>3.3075000000000001</v>
      </c>
      <c r="W25" s="29">
        <f t="shared" si="30"/>
        <v>3.1500000000000004</v>
      </c>
      <c r="X25" s="29">
        <f t="shared" si="30"/>
        <v>3.0068181818181823</v>
      </c>
      <c r="Y25" s="29">
        <f t="shared" si="30"/>
        <v>2.8760869565217395</v>
      </c>
    </row>
    <row r="26" spans="1:25" x14ac:dyDescent="0.25">
      <c r="A26" s="71"/>
      <c r="B26" s="8" t="str">
        <f xml:space="preserve"> CONCATENATE(Setup!$B$8, ", ", LEFT(Setup!$C$8,2))</f>
        <v>Spencer, SS</v>
      </c>
      <c r="C26" s="29">
        <f t="shared" ref="C26:E29" si="31" xml:space="preserve"> C20 / C$6</f>
        <v>2.66</v>
      </c>
      <c r="D26" s="29">
        <f t="shared" si="31"/>
        <v>2.2050000000000001</v>
      </c>
      <c r="E26" s="29">
        <f t="shared" si="31"/>
        <v>2.97</v>
      </c>
      <c r="F26" s="29">
        <f t="shared" ref="F26:Y26" si="32" xml:space="preserve"> F20 / F$6</f>
        <v>2.4775</v>
      </c>
      <c r="G26" s="29">
        <f t="shared" si="32"/>
        <v>2.3820000000000001</v>
      </c>
      <c r="H26" s="29">
        <f t="shared" si="32"/>
        <v>2.3183333333333334</v>
      </c>
      <c r="I26" s="29">
        <f t="shared" si="32"/>
        <v>3.701857142857143</v>
      </c>
      <c r="J26" s="29">
        <f t="shared" si="32"/>
        <v>4.6141249999999996</v>
      </c>
      <c r="K26" s="29">
        <f t="shared" si="32"/>
        <v>4.9903333333333331</v>
      </c>
      <c r="L26" s="29">
        <f t="shared" si="32"/>
        <v>4.4912999999999998</v>
      </c>
      <c r="M26" s="51">
        <f t="shared" si="32"/>
        <v>4.0829999999999993</v>
      </c>
      <c r="N26" s="52">
        <f t="shared" si="32"/>
        <v>3.7427499999999996</v>
      </c>
      <c r="O26" s="29">
        <f t="shared" si="32"/>
        <v>3.4548461538461535</v>
      </c>
      <c r="P26" s="29">
        <f t="shared" si="32"/>
        <v>3.2080714285714285</v>
      </c>
      <c r="Q26" s="29">
        <f t="shared" si="32"/>
        <v>2.9941999999999998</v>
      </c>
      <c r="R26" s="29">
        <f t="shared" si="32"/>
        <v>2.8070624999999998</v>
      </c>
      <c r="S26" s="29">
        <f t="shared" si="32"/>
        <v>2.641941176470588</v>
      </c>
      <c r="T26" s="29">
        <f t="shared" si="32"/>
        <v>2.4951666666666665</v>
      </c>
      <c r="U26" s="29">
        <f t="shared" si="32"/>
        <v>2.3638421052631577</v>
      </c>
      <c r="V26" s="29">
        <f t="shared" si="32"/>
        <v>2.2456499999999999</v>
      </c>
      <c r="W26" s="29">
        <f t="shared" si="32"/>
        <v>2.1387142857142853</v>
      </c>
      <c r="X26" s="29">
        <f t="shared" si="32"/>
        <v>2.0414999999999996</v>
      </c>
      <c r="Y26" s="29">
        <f t="shared" si="32"/>
        <v>1.9527391304347825</v>
      </c>
    </row>
    <row r="27" spans="1:25" x14ac:dyDescent="0.25">
      <c r="A27" s="71"/>
      <c r="B27" s="8" t="str">
        <f xml:space="preserve"> CONCATENATE(Setup!$B$9, ", ", LEFT(Setup!$C$9,2))</f>
        <v>Dylan, DW</v>
      </c>
      <c r="C27" s="29">
        <f t="shared" si="31"/>
        <v>1.25</v>
      </c>
      <c r="D27" s="29">
        <f t="shared" si="31"/>
        <v>1.5</v>
      </c>
      <c r="E27" s="29">
        <f t="shared" si="31"/>
        <v>2.6666666666666665</v>
      </c>
      <c r="F27" s="29">
        <f t="shared" ref="F27:Y27" si="33" xml:space="preserve"> F21 / F$6</f>
        <v>2.75</v>
      </c>
      <c r="G27" s="29">
        <f t="shared" si="33"/>
        <v>2.4</v>
      </c>
      <c r="H27" s="29">
        <f t="shared" si="33"/>
        <v>2.8445</v>
      </c>
      <c r="I27" s="29">
        <f t="shared" si="33"/>
        <v>3.2238571428571428</v>
      </c>
      <c r="J27" s="29">
        <f t="shared" si="33"/>
        <v>3.570875</v>
      </c>
      <c r="K27" s="29">
        <f t="shared" si="33"/>
        <v>3.7296666666666667</v>
      </c>
      <c r="L27" s="29">
        <f t="shared" si="33"/>
        <v>3.3567</v>
      </c>
      <c r="M27" s="51">
        <f t="shared" si="33"/>
        <v>3.0515454545454546</v>
      </c>
      <c r="N27" s="52">
        <f t="shared" si="33"/>
        <v>2.79725</v>
      </c>
      <c r="O27" s="29">
        <f t="shared" si="33"/>
        <v>2.5820769230769232</v>
      </c>
      <c r="P27" s="29">
        <f t="shared" si="33"/>
        <v>2.397642857142857</v>
      </c>
      <c r="Q27" s="29">
        <f t="shared" si="33"/>
        <v>2.2378</v>
      </c>
      <c r="R27" s="29">
        <f t="shared" si="33"/>
        <v>2.0979375</v>
      </c>
      <c r="S27" s="29">
        <f t="shared" si="33"/>
        <v>1.9745294117647059</v>
      </c>
      <c r="T27" s="29">
        <f t="shared" si="33"/>
        <v>1.8648333333333333</v>
      </c>
      <c r="U27" s="29">
        <f t="shared" si="33"/>
        <v>1.7666842105263159</v>
      </c>
      <c r="V27" s="29">
        <f t="shared" si="33"/>
        <v>1.67835</v>
      </c>
      <c r="W27" s="29">
        <f t="shared" si="33"/>
        <v>1.5984285714285715</v>
      </c>
      <c r="X27" s="29">
        <f t="shared" si="33"/>
        <v>1.5257727272727273</v>
      </c>
      <c r="Y27" s="29">
        <f t="shared" si="33"/>
        <v>1.4594347826086957</v>
      </c>
    </row>
    <row r="28" spans="1:25" x14ac:dyDescent="0.25">
      <c r="A28" s="71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6.875</v>
      </c>
      <c r="E28" s="29">
        <f t="shared" si="31"/>
        <v>8.7166666666666668</v>
      </c>
      <c r="F28" s="29">
        <f t="shared" ref="F28:Y28" si="34" xml:space="preserve"> F22 / F$6</f>
        <v>8.1</v>
      </c>
      <c r="G28" s="29">
        <f t="shared" si="34"/>
        <v>7.08</v>
      </c>
      <c r="H28" s="29">
        <f t="shared" si="34"/>
        <v>5.8999999999999995</v>
      </c>
      <c r="I28" s="29">
        <f t="shared" si="34"/>
        <v>5.0571428571428569</v>
      </c>
      <c r="J28" s="29">
        <f t="shared" si="34"/>
        <v>4.4249999999999998</v>
      </c>
      <c r="K28" s="29">
        <f t="shared" si="34"/>
        <v>3.9333333333333331</v>
      </c>
      <c r="L28" s="29">
        <f t="shared" si="34"/>
        <v>3.54</v>
      </c>
      <c r="M28" s="51">
        <f t="shared" si="34"/>
        <v>3.2181818181818183</v>
      </c>
      <c r="N28" s="52">
        <f t="shared" si="34"/>
        <v>2.9499999999999997</v>
      </c>
      <c r="O28" s="29">
        <f t="shared" si="34"/>
        <v>2.7230769230769232</v>
      </c>
      <c r="P28" s="29">
        <f t="shared" si="34"/>
        <v>2.5285714285714285</v>
      </c>
      <c r="Q28" s="29">
        <f t="shared" si="34"/>
        <v>2.36</v>
      </c>
      <c r="R28" s="29">
        <f t="shared" si="34"/>
        <v>2.2124999999999999</v>
      </c>
      <c r="S28" s="29">
        <f t="shared" si="34"/>
        <v>2.0823529411764703</v>
      </c>
      <c r="T28" s="29">
        <f t="shared" si="34"/>
        <v>1.9666666666666666</v>
      </c>
      <c r="U28" s="29">
        <f t="shared" si="34"/>
        <v>1.8631578947368421</v>
      </c>
      <c r="V28" s="29">
        <f t="shared" si="34"/>
        <v>1.77</v>
      </c>
      <c r="W28" s="29">
        <f t="shared" si="34"/>
        <v>1.6857142857142857</v>
      </c>
      <c r="X28" s="29">
        <f t="shared" si="34"/>
        <v>1.6090909090909091</v>
      </c>
      <c r="Y28" s="29">
        <f t="shared" si="34"/>
        <v>1.5391304347826087</v>
      </c>
    </row>
    <row r="29" spans="1:25" ht="15.75" x14ac:dyDescent="0.25">
      <c r="A29" s="71"/>
      <c r="B29" s="9" t="s">
        <v>30</v>
      </c>
      <c r="C29" s="30">
        <f t="shared" si="31"/>
        <v>5.91</v>
      </c>
      <c r="D29" s="30">
        <f t="shared" si="31"/>
        <v>11.455</v>
      </c>
      <c r="E29" s="30">
        <f t="shared" si="31"/>
        <v>13.936666666666667</v>
      </c>
      <c r="F29" s="30">
        <f t="shared" ref="F29:Y29" si="35" xml:space="preserve"> F23 / F$6</f>
        <v>13.14</v>
      </c>
      <c r="G29" s="30">
        <f t="shared" si="35"/>
        <v>12.612</v>
      </c>
      <c r="H29" s="30">
        <f t="shared" si="35"/>
        <v>12.521166666666668</v>
      </c>
      <c r="I29" s="30">
        <f t="shared" si="35"/>
        <v>14.732857142857144</v>
      </c>
      <c r="J29" s="30">
        <f t="shared" si="35"/>
        <v>16.391249999999999</v>
      </c>
      <c r="K29" s="30">
        <f t="shared" si="35"/>
        <v>17.014444444444443</v>
      </c>
      <c r="L29" s="30">
        <f t="shared" si="35"/>
        <v>15.312999999999999</v>
      </c>
      <c r="M29" s="53">
        <f t="shared" si="35"/>
        <v>13.92090909090909</v>
      </c>
      <c r="N29" s="54">
        <f t="shared" si="35"/>
        <v>12.760833333333332</v>
      </c>
      <c r="O29" s="30">
        <f t="shared" si="35"/>
        <v>11.779230769230768</v>
      </c>
      <c r="P29" s="30">
        <f t="shared" si="35"/>
        <v>10.937857142857142</v>
      </c>
      <c r="Q29" s="30">
        <f t="shared" si="35"/>
        <v>10.208666666666666</v>
      </c>
      <c r="R29" s="30">
        <f t="shared" si="35"/>
        <v>9.5706249999999997</v>
      </c>
      <c r="S29" s="30">
        <f t="shared" si="35"/>
        <v>9.0076470588235296</v>
      </c>
      <c r="T29" s="30">
        <f t="shared" si="35"/>
        <v>8.5072222222222216</v>
      </c>
      <c r="U29" s="30">
        <f t="shared" si="35"/>
        <v>8.0594736842105252</v>
      </c>
      <c r="V29" s="30">
        <f t="shared" si="35"/>
        <v>7.6564999999999994</v>
      </c>
      <c r="W29" s="30">
        <f t="shared" si="35"/>
        <v>7.2919047619047621</v>
      </c>
      <c r="X29" s="30">
        <f t="shared" si="35"/>
        <v>6.960454545454545</v>
      </c>
      <c r="Y29" s="30">
        <f t="shared" si="35"/>
        <v>6.6578260869565211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60">
        <v>0</v>
      </c>
      <c r="J6" s="61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60">
        <v>0</v>
      </c>
      <c r="J8" s="61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60">
        <v>0</v>
      </c>
      <c r="Q8" s="68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.75" thickBot="1" x14ac:dyDescent="0.3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4">
        <f t="shared" si="2"/>
        <v>2</v>
      </c>
      <c r="J12" s="65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4">
        <f t="shared" si="2"/>
        <v>3</v>
      </c>
      <c r="Q12" s="65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4">
        <f t="shared" si="3"/>
        <v>0.5</v>
      </c>
      <c r="Q13" s="65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4">
        <f t="shared" si="4"/>
        <v>1</v>
      </c>
      <c r="J14" s="65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4">
        <f t="shared" si="4"/>
        <v>2.75</v>
      </c>
      <c r="Q14" s="65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2">
        <f t="shared" si="6"/>
        <v>3</v>
      </c>
      <c r="J16" s="63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2">
        <f t="shared" si="6"/>
        <v>6.25</v>
      </c>
      <c r="Q16" s="63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.75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60">
        <v>0</v>
      </c>
      <c r="Q18" s="67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60">
        <v>0</v>
      </c>
      <c r="J19" s="61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60">
        <v>2.5</v>
      </c>
      <c r="Q19" s="68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60">
        <v>0</v>
      </c>
      <c r="Q20" s="68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2">
        <f t="shared" si="7"/>
        <v>2.5</v>
      </c>
      <c r="Q22" s="63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4">
        <f t="shared" si="9"/>
        <v>4</v>
      </c>
      <c r="Q24" s="65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4">
        <f t="shared" si="10"/>
        <v>2.66</v>
      </c>
      <c r="J25" s="65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4">
        <f t="shared" si="11"/>
        <v>11.16</v>
      </c>
      <c r="Q25" s="65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4">
        <f t="shared" si="12"/>
        <v>0.25</v>
      </c>
      <c r="J26" s="65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4">
        <f t="shared" si="13"/>
        <v>1.5</v>
      </c>
      <c r="Q26" s="65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2">
        <f t="shared" si="16"/>
        <v>2.91</v>
      </c>
      <c r="J28" s="63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2">
        <f t="shared" si="16"/>
        <v>16.66</v>
      </c>
      <c r="Q28" s="63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4">
        <f t="shared" si="17"/>
        <v>0.2857142857142857</v>
      </c>
      <c r="J30" s="65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4">
        <f t="shared" si="17"/>
        <v>0.5</v>
      </c>
      <c r="Q30" s="65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4">
        <f t="shared" si="18"/>
        <v>0.38</v>
      </c>
      <c r="J31" s="65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4">
        <f t="shared" si="18"/>
        <v>0.83285714285714285</v>
      </c>
      <c r="Q31" s="65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4">
        <f t="shared" si="19"/>
        <v>0.17857142857142858</v>
      </c>
      <c r="J32" s="65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4">
        <f t="shared" si="19"/>
        <v>0.30357142857142855</v>
      </c>
      <c r="Q32" s="65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2">
        <f t="shared" si="21"/>
        <v>0.84428571428571431</v>
      </c>
      <c r="J34" s="63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2">
        <f t="shared" si="21"/>
        <v>1.6364285714285713</v>
      </c>
      <c r="Q34" s="63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1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1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1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1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1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1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2">
        <f t="shared" si="1"/>
        <v>2.5</v>
      </c>
      <c r="J10" s="63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4">
        <f t="shared" si="2"/>
        <v>1</v>
      </c>
      <c r="J12" s="65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4">
        <f t="shared" si="2"/>
        <v>6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4">
        <f t="shared" si="3"/>
        <v>0.5</v>
      </c>
      <c r="J13" s="65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4">
        <f t="shared" si="3"/>
        <v>2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4">
        <f t="shared" si="4"/>
        <v>3</v>
      </c>
      <c r="J14" s="65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4">
        <f t="shared" si="4"/>
        <v>4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2">
        <f t="shared" si="6"/>
        <v>4.5</v>
      </c>
      <c r="J16" s="63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2">
        <f t="shared" si="6"/>
        <v>12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1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1.5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1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2">
        <f t="shared" si="7"/>
        <v>1</v>
      </c>
      <c r="J22" s="63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2.5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1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4">
        <f t="shared" si="9"/>
        <v>5.75</v>
      </c>
      <c r="J25" s="65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4">
        <f t="shared" si="9"/>
        <v>7.25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0.5</v>
      </c>
      <c r="J26" s="65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4">
        <f t="shared" si="10"/>
        <v>1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2">
        <f t="shared" si="12"/>
        <v>6.25</v>
      </c>
      <c r="J28" s="63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2">
        <f t="shared" si="12"/>
        <v>9.25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4">
        <f t="shared" si="13"/>
        <v>0.14285714285714285</v>
      </c>
      <c r="J30" s="65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4">
        <f t="shared" si="13"/>
        <v>0.5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4">
        <f t="shared" si="14"/>
        <v>0.8928571428571429</v>
      </c>
      <c r="J31" s="65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4">
        <f t="shared" si="14"/>
        <v>0.6607142857142857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4">
        <f t="shared" si="15"/>
        <v>0.5</v>
      </c>
      <c r="J32" s="65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4">
        <f t="shared" si="15"/>
        <v>0.35714285714285715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2">
        <f t="shared" si="17"/>
        <v>1.5357142857142858</v>
      </c>
      <c r="J34" s="63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2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9" sqref="C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1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60">
        <v>5.5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1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60">
        <v>4.0030000000000001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1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2">
        <f t="shared" si="1"/>
        <v>6.0670000000000002</v>
      </c>
      <c r="J10" s="63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2">
        <f t="shared" si="1"/>
        <v>9.5030000000000001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4">
        <f t="shared" si="2"/>
        <v>5</v>
      </c>
      <c r="J12" s="65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4">
        <f t="shared" si="2"/>
        <v>15.5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4">
        <f t="shared" si="3"/>
        <v>2</v>
      </c>
      <c r="J13" s="65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4">
        <f t="shared" si="3"/>
        <v>14.003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5.0670000000000002</v>
      </c>
      <c r="J14" s="65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4">
        <f t="shared" si="4"/>
        <v>10.567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2">
        <f t="shared" si="6"/>
        <v>12.067</v>
      </c>
      <c r="J16" s="63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2">
        <f t="shared" si="6"/>
        <v>40.07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4">
        <f t="shared" si="13"/>
        <v>0.7142857142857143</v>
      </c>
      <c r="J30" s="65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4">
        <f t="shared" si="13"/>
        <v>1.1071428571428572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4">
        <f t="shared" si="14"/>
        <v>0.2857142857142857</v>
      </c>
      <c r="J31" s="65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4">
        <f t="shared" si="14"/>
        <v>1.0002142857142857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0.72385714285714287</v>
      </c>
      <c r="J32" s="65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4">
        <f t="shared" si="15"/>
        <v>0.75478571428571428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2">
        <f t="shared" si="17"/>
        <v>1.7238571428571428</v>
      </c>
      <c r="J34" s="63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2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zoomScalePageLayoutView="115" workbookViewId="0">
      <selection activeCell="D11" sqref="D11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6">
        <f t="shared" si="0"/>
        <v>42309</v>
      </c>
      <c r="J4" s="57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6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1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60">
        <v>2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1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60">
        <v>3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1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2">
        <f t="shared" si="1"/>
        <v>9</v>
      </c>
      <c r="J10" s="63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2">
        <f t="shared" si="1"/>
        <v>5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4">
        <f t="shared" si="2"/>
        <v>11</v>
      </c>
      <c r="J12" s="65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4">
        <f t="shared" si="2"/>
        <v>20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4">
        <f t="shared" si="3"/>
        <v>11</v>
      </c>
      <c r="J13" s="65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4">
        <f t="shared" si="3"/>
        <v>19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4">
        <f t="shared" si="4"/>
        <v>6</v>
      </c>
      <c r="J14" s="65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4">
        <f t="shared" si="4"/>
        <v>11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2">
        <f t="shared" si="6"/>
        <v>28</v>
      </c>
      <c r="J16" s="63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2">
        <f t="shared" si="6"/>
        <v>50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4">
        <f t="shared" si="13"/>
        <v>1.5714285714285714</v>
      </c>
      <c r="J30" s="65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4">
        <f t="shared" si="13"/>
        <v>1.4285714285714286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4">
        <f t="shared" si="14"/>
        <v>1.5714285714285714</v>
      </c>
      <c r="J31" s="65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4">
        <f t="shared" si="14"/>
        <v>1.3571428571428572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4">
        <f t="shared" si="15"/>
        <v>0.8571428571428571</v>
      </c>
      <c r="J32" s="65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4">
        <f t="shared" si="15"/>
        <v>0.7857142857142857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2">
        <f t="shared" si="17"/>
        <v>4</v>
      </c>
      <c r="J34" s="63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2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6">
        <f t="shared" si="0"/>
        <v>42309</v>
      </c>
      <c r="J4" s="57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6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2015-11-16T23:26:03Z</dcterms:modified>
</cp:coreProperties>
</file>
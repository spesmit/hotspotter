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  <Override PartName="/xl/charts/style7.xml" ContentType="application/vnd.ms-office.chartstyle+xml"/>
  <Override PartName="/xl/charts/colors7.xml" ContentType="application/vnd.ms-office.chartcolorstyle+xml"/>
  <Override PartName="/xl/charts/style8.xml" ContentType="application/vnd.ms-office.chartstyle+xml"/>
  <Override PartName="/xl/charts/colors8.xml" ContentType="application/vnd.ms-office.chartcolorstyle+xml"/>
  <Override PartName="/xl/charts/style9.xml" ContentType="application/vnd.ms-office.chartstyle+xml"/>
  <Override PartName="/xl/charts/colors9.xml" ContentType="application/vnd.ms-office.chartcolorstyle+xml"/>
  <Override PartName="/xl/charts/style10.xml" ContentType="application/vnd.ms-office.chartstyle+xml"/>
  <Override PartName="/xl/charts/colors10.xml" ContentType="application/vnd.ms-office.chartcolorstyle+xml"/>
  <Override PartName="/xl/charts/style11.xml" ContentType="application/vnd.ms-office.chartstyle+xml"/>
  <Override PartName="/xl/charts/colors11.xml" ContentType="application/vnd.ms-office.chartcolorstyle+xml"/>
  <Override PartName="/xl/charts/style12.xml" ContentType="application/vnd.ms-office.chartstyle+xml"/>
  <Override PartName="/xl/charts/colors12.xml" ContentType="application/vnd.ms-office.chartcolorstyle+xml"/>
  <Override PartName="/xl/charts/style13.xml" ContentType="application/vnd.ms-office.chartstyle+xml"/>
  <Override PartName="/xl/charts/colors13.xml" ContentType="application/vnd.ms-office.chartcolorstyle+xml"/>
  <Override PartName="/xl/charts/style14.xml" ContentType="application/vnd.ms-office.chartstyle+xml"/>
  <Override PartName="/xl/charts/colors14.xml" ContentType="application/vnd.ms-office.chartcolorstyle+xml"/>
  <Override PartName="/xl/charts/style15.xml" ContentType="application/vnd.ms-office.chartstyle+xml"/>
  <Override PartName="/xl/charts/colors15.xml" ContentType="application/vnd.ms-office.chartcolorstyle+xml"/>
  <Override PartName="/xl/charts/style16.xml" ContentType="application/vnd.ms-office.chartstyle+xml"/>
  <Override PartName="/xl/charts/colors16.xml" ContentType="application/vnd.ms-office.chartcolorstyle+xml"/>
  <Override PartName="/xl/charts/style17.xml" ContentType="application/vnd.ms-office.chartstyle+xml"/>
  <Override PartName="/xl/charts/colors17.xml" ContentType="application/vnd.ms-office.chartcolorstyle+xml"/>
  <Override PartName="/xl/charts/style18.xml" ContentType="application/vnd.ms-office.chartstyle+xml"/>
  <Override PartName="/xl/charts/colors18.xml" ContentType="application/vnd.ms-office.chartcolorstyle+xml"/>
  <Override PartName="/xl/charts/style19.xml" ContentType="application/vnd.ms-office.chartstyle+xml"/>
  <Override PartName="/xl/charts/colors19.xml" ContentType="application/vnd.ms-office.chartcolorstyle+xml"/>
  <Override PartName="/xl/charts/style20.xml" ContentType="application/vnd.ms-office.chartstyle+xml"/>
  <Override PartName="/xl/charts/colors20.xml" ContentType="application/vnd.ms-office.chartcolorstyle+xml"/>
  <Override PartName="/xl/charts/style21.xml" ContentType="application/vnd.ms-office.chartstyle+xml"/>
  <Override PartName="/xl/charts/colors21.xml" ContentType="application/vnd.ms-office.chartcolorstyle+xml"/>
  <Override PartName="/xl/charts/style22.xml" ContentType="application/vnd.ms-office.chartstyle+xml"/>
  <Override PartName="/xl/charts/colors22.xml" ContentType="application/vnd.ms-office.chartcolorstyle+xml"/>
  <Override PartName="/xl/charts/style23.xml" ContentType="application/vnd.ms-office.chartstyle+xml"/>
  <Override PartName="/xl/charts/colors23.xml" ContentType="application/vnd.ms-office.chartcolorstyle+xml"/>
  <Override PartName="/xl/charts/style24.xml" ContentType="application/vnd.ms-office.chartstyle+xml"/>
  <Override PartName="/xl/charts/colors24.xml" ContentType="application/vnd.ms-office.chartcolorstyle+xml"/>
  <Override PartName="/xl/charts/style25.xml" ContentType="application/vnd.ms-office.chartstyle+xml"/>
  <Override PartName="/xl/charts/colors25.xml" ContentType="application/vnd.ms-office.chartcolorstyle+xml"/>
  <Override PartName="/xl/charts/style26.xml" ContentType="application/vnd.ms-office.chartstyle+xml"/>
  <Override PartName="/xl/charts/colors26.xml" ContentType="application/vnd.ms-office.chartcolorstyle+xml"/>
  <Override PartName="/xl/charts/style27.xml" ContentType="application/vnd.ms-office.chartstyle+xml"/>
  <Override PartName="/xl/charts/colors27.xml" ContentType="application/vnd.ms-office.chartcolorstyle+xml"/>
  <Override PartName="/xl/charts/style28.xml" ContentType="application/vnd.ms-office.chartstyle+xml"/>
  <Override PartName="/xl/charts/colors28.xml" ContentType="application/vnd.ms-office.chartcolorstyle+xml"/>
  <Override PartName="/xl/charts/style29.xml" ContentType="application/vnd.ms-office.chartstyle+xml"/>
  <Override PartName="/xl/charts/colors29.xml" ContentType="application/vnd.ms-office.chartcolorstyle+xml"/>
  <Override PartName="/xl/charts/style30.xml" ContentType="application/vnd.ms-office.chartstyle+xml"/>
  <Override PartName="/xl/charts/colors30.xml" ContentType="application/vnd.ms-office.chartcolorstyle+xml"/>
  <Override PartName="/xl/charts/style31.xml" ContentType="application/vnd.ms-office.chartstyle+xml"/>
  <Override PartName="/xl/charts/colors31.xml" ContentType="application/vnd.ms-office.chartcolorstyle+xml"/>
  <Override PartName="/xl/charts/style32.xml" ContentType="application/vnd.ms-office.chartstyle+xml"/>
  <Override PartName="/xl/charts/colors32.xml" ContentType="application/vnd.ms-office.chartcolorstyle+xml"/>
  <Override PartName="/xl/charts/style33.xml" ContentType="application/vnd.ms-office.chartstyle+xml"/>
  <Override PartName="/xl/charts/colors33.xml" ContentType="application/vnd.ms-office.chartcolorstyle+xml"/>
  <Override PartName="/xl/charts/style34.xml" ContentType="application/vnd.ms-office.chartstyle+xml"/>
  <Override PartName="/xl/charts/colors34.xml" ContentType="application/vnd.ms-office.chartcolorstyle+xml"/>
  <Override PartName="/xl/charts/style35.xml" ContentType="application/vnd.ms-office.chartstyle+xml"/>
  <Override PartName="/xl/charts/colors35.xml" ContentType="application/vnd.ms-office.chartcolorstyle+xml"/>
  <Override PartName="/xl/charts/style36.xml" ContentType="application/vnd.ms-office.chartstyle+xml"/>
  <Override PartName="/xl/charts/colors36.xml" ContentType="application/vnd.ms-office.chartcolorstyle+xml"/>
  <Override PartName="/xl/charts/style37.xml" ContentType="application/vnd.ms-office.chartstyle+xml"/>
  <Override PartName="/xl/charts/colors37.xml" ContentType="application/vnd.ms-office.chartcolorstyle+xml"/>
  <Override PartName="/xl/charts/style38.xml" ContentType="application/vnd.ms-office.chartstyle+xml"/>
  <Override PartName="/xl/charts/colors38.xml" ContentType="application/vnd.ms-office.chartcolorstyle+xml"/>
  <Override PartName="/xl/charts/style39.xml" ContentType="application/vnd.ms-office.chartstyle+xml"/>
  <Override PartName="/xl/charts/colors39.xml" ContentType="application/vnd.ms-office.chartcolorstyle+xml"/>
  <Override PartName="/xl/charts/style40.xml" ContentType="application/vnd.ms-office.chartstyle+xml"/>
  <Override PartName="/xl/charts/colors40.xml" ContentType="application/vnd.ms-office.chartcolorstyle+xml"/>
  <Override PartName="/xl/charts/style41.xml" ContentType="application/vnd.ms-office.chartstyle+xml"/>
  <Override PartName="/xl/charts/colors41.xml" ContentType="application/vnd.ms-office.chartcolorstyle+xml"/>
  <Override PartName="/xl/charts/style42.xml" ContentType="application/vnd.ms-office.chartstyle+xml"/>
  <Override PartName="/xl/charts/colors42.xml" ContentType="application/vnd.ms-office.chartcolorstyle+xml"/>
  <Override PartName="/xl/charts/style43.xml" ContentType="application/vnd.ms-office.chartstyle+xml"/>
  <Override PartName="/xl/charts/colors43.xml" ContentType="application/vnd.ms-office.chartcolorstyle+xml"/>
  <Override PartName="/xl/charts/style44.xml" ContentType="application/vnd.ms-office.chartstyle+xml"/>
  <Override PartName="/xl/charts/colors44.xml" ContentType="application/vnd.ms-office.chartcolorstyle+xml"/>
  <Override PartName="/xl/charts/style45.xml" ContentType="application/vnd.ms-office.chartstyle+xml"/>
  <Override PartName="/xl/charts/colors45.xml" ContentType="application/vnd.ms-office.chartcolorstyle+xml"/>
  <Override PartName="/xl/charts/style46.xml" ContentType="application/vnd.ms-office.chartstyle+xml"/>
  <Override PartName="/xl/charts/colors46.xml" ContentType="application/vnd.ms-office.chartcolorstyle+xml"/>
  <Override PartName="/xl/charts/style47.xml" ContentType="application/vnd.ms-office.chartstyle+xml"/>
  <Override PartName="/xl/charts/colors47.xml" ContentType="application/vnd.ms-office.chartcolorstyle+xml"/>
  <Override PartName="/xl/charts/style48.xml" ContentType="application/vnd.ms-office.chartstyle+xml"/>
  <Override PartName="/xl/charts/colors48.xml" ContentType="application/vnd.ms-office.chartcolorstyle+xml"/>
  <Override PartName="/xl/charts/style49.xml" ContentType="application/vnd.ms-office.chartstyle+xml"/>
  <Override PartName="/xl/charts/colors49.xml" ContentType="application/vnd.ms-office.chartcolorstyle+xml"/>
  <Override PartName="/xl/charts/style50.xml" ContentType="application/vnd.ms-office.chartstyle+xml"/>
  <Override PartName="/xl/charts/colors50.xml" ContentType="application/vnd.ms-office.chartcolorstyle+xml"/>
  <Override PartName="/xl/charts/style51.xml" ContentType="application/vnd.ms-office.chartstyle+xml"/>
  <Override PartName="/xl/charts/colors51.xml" ContentType="application/vnd.ms-office.chartcolorstyle+xml"/>
  <Override PartName="/xl/charts/style52.xml" ContentType="application/vnd.ms-office.chartstyle+xml"/>
  <Override PartName="/xl/charts/colors52.xml" ContentType="application/vnd.ms-office.chartcolorstyle+xml"/>
  <Override PartName="/xl/charts/style53.xml" ContentType="application/vnd.ms-office.chartstyle+xml"/>
  <Override PartName="/xl/charts/colors53.xml" ContentType="application/vnd.ms-office.chartcolorstyle+xml"/>
  <Override PartName="/xl/charts/style54.xml" ContentType="application/vnd.ms-office.chartstyle+xml"/>
  <Override PartName="/xl/charts/colors54.xml" ContentType="application/vnd.ms-office.chartcolorstyle+xml"/>
  <Override PartName="/xl/charts/style55.xml" ContentType="application/vnd.ms-office.chartstyle+xml"/>
  <Override PartName="/xl/charts/colors55.xml" ContentType="application/vnd.ms-office.chartcolorstyle+xml"/>
  <Override PartName="/xl/charts/style56.xml" ContentType="application/vnd.ms-office.chartstyle+xml"/>
  <Override PartName="/xl/charts/colors56.xml" ContentType="application/vnd.ms-office.chartcolorstyle+xml"/>
  <Override PartName="/xl/charts/style57.xml" ContentType="application/vnd.ms-office.chartstyle+xml"/>
  <Override PartName="/xl/charts/colors57.xml" ContentType="application/vnd.ms-office.chartcolorstyle+xml"/>
  <Override PartName="/xl/charts/style58.xml" ContentType="application/vnd.ms-office.chartstyle+xml"/>
  <Override PartName="/xl/charts/colors58.xml" ContentType="application/vnd.ms-office.chartcolorstyle+xml"/>
  <Override PartName="/xl/charts/style59.xml" ContentType="application/vnd.ms-office.chartstyle+xml"/>
  <Override PartName="/xl/charts/colors59.xml" ContentType="application/vnd.ms-office.chartcolorstyle+xml"/>
  <Override PartName="/xl/charts/style60.xml" ContentType="application/vnd.ms-office.chartstyle+xml"/>
  <Override PartName="/xl/charts/colors60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2416"/>
  <workbookPr filterPrivacy="1" codeName="ThisWorkbook" autoCompressPictures="0"/>
  <bookViews>
    <workbookView xWindow="13640" yWindow="-21620" windowWidth="38400" windowHeight="21140" tabRatio="695" activeTab="2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43" l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C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B2" i="42"/>
  <c r="B2" i="43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10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9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8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<sst xmlns="http://schemas.openxmlformats.org/spreadsheetml/2006/main" count="294" uniqueCount="52">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</sst>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Relationship Id="rId2" Type="http://schemas.microsoft.com/office/2011/relationships/chartStyle" Target="style2.xml"/><Relationship Id="rId3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Relationship Id="rId2" Type="http://schemas.microsoft.com/office/2011/relationships/chartStyle" Target="style3.xml"/><Relationship Id="rId3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Relationship Id="rId2" Type="http://schemas.microsoft.com/office/2011/relationships/chartStyle" Target="style4.xml"/><Relationship Id="rId3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Relationship Id="rId2" Type="http://schemas.microsoft.com/office/2011/relationships/chartStyle" Target="style5.xml"/><Relationship Id="rId3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Relationship Id="rId2" Type="http://schemas.microsoft.com/office/2011/relationships/chartStyle" Target="style6.xml"/><Relationship Id="rId3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Relationship Id="rId2" Type="http://schemas.microsoft.com/office/2011/relationships/chartStyle" Target="style7.xml"/><Relationship Id="rId3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Relationship Id="rId2" Type="http://schemas.microsoft.com/office/2011/relationships/chartStyle" Target="style8.xml"/><Relationship Id="rId3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Relationship Id="rId2" Type="http://schemas.microsoft.com/office/2011/relationships/chartStyle" Target="style9.xml"/><Relationship Id="rId3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Relationship Id="rId2" Type="http://schemas.microsoft.com/office/2011/relationships/chartStyle" Target="style10.xml"/><Relationship Id="rId3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Relationship Id="rId2" Type="http://schemas.microsoft.com/office/2011/relationships/chartStyle" Target="style11.xml"/><Relationship Id="rId3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Relationship Id="rId2" Type="http://schemas.microsoft.com/office/2011/relationships/chartStyle" Target="style12.xml"/><Relationship Id="rId3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Relationship Id="rId2" Type="http://schemas.microsoft.com/office/2011/relationships/chartStyle" Target="style13.xml"/><Relationship Id="rId3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Relationship Id="rId2" Type="http://schemas.microsoft.com/office/2011/relationships/chartStyle" Target="style14.xml"/><Relationship Id="rId3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Relationship Id="rId2" Type="http://schemas.microsoft.com/office/2011/relationships/chartStyle" Target="style15.xml"/><Relationship Id="rId3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Relationship Id="rId2" Type="http://schemas.microsoft.com/office/2011/relationships/chartStyle" Target="style16.xml"/><Relationship Id="rId3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Relationship Id="rId2" Type="http://schemas.microsoft.com/office/2011/relationships/chartStyle" Target="style17.xml"/><Relationship Id="rId3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Relationship Id="rId2" Type="http://schemas.microsoft.com/office/2011/relationships/chartStyle" Target="style18.xml"/><Relationship Id="rId3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Relationship Id="rId2" Type="http://schemas.microsoft.com/office/2011/relationships/chartStyle" Target="style19.xml"/><Relationship Id="rId3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Relationship Id="rId2" Type="http://schemas.microsoft.com/office/2011/relationships/chartStyle" Target="style20.xml"/><Relationship Id="rId3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Relationship Id="rId2" Type="http://schemas.microsoft.com/office/2011/relationships/chartStyle" Target="style21.xml"/><Relationship Id="rId3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Relationship Id="rId2" Type="http://schemas.microsoft.com/office/2011/relationships/chartStyle" Target="style22.xml"/><Relationship Id="rId3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Relationship Id="rId2" Type="http://schemas.microsoft.com/office/2011/relationships/chartStyle" Target="style23.xml"/><Relationship Id="rId3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Relationship Id="rId2" Type="http://schemas.microsoft.com/office/2011/relationships/chartStyle" Target="style24.xml"/><Relationship Id="rId3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Relationship Id="rId2" Type="http://schemas.microsoft.com/office/2011/relationships/chartStyle" Target="style25.xml"/><Relationship Id="rId3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Relationship Id="rId2" Type="http://schemas.microsoft.com/office/2011/relationships/chartStyle" Target="style26.xml"/><Relationship Id="rId3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Relationship Id="rId2" Type="http://schemas.microsoft.com/office/2011/relationships/chartStyle" Target="style27.xml"/><Relationship Id="rId3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Relationship Id="rId2" Type="http://schemas.microsoft.com/office/2011/relationships/chartStyle" Target="style28.xml"/><Relationship Id="rId3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Relationship Id="rId2" Type="http://schemas.microsoft.com/office/2011/relationships/chartStyle" Target="style29.xml"/><Relationship Id="rId3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Relationship Id="rId2" Type="http://schemas.microsoft.com/office/2011/relationships/chartStyle" Target="style30.xml"/><Relationship Id="rId3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Relationship Id="rId2" Type="http://schemas.microsoft.com/office/2011/relationships/chartStyle" Target="style31.xml"/><Relationship Id="rId3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Relationship Id="rId2" Type="http://schemas.microsoft.com/office/2011/relationships/chartStyle" Target="style32.xml"/><Relationship Id="rId3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Relationship Id="rId2" Type="http://schemas.microsoft.com/office/2011/relationships/chartStyle" Target="style33.xml"/><Relationship Id="rId3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Relationship Id="rId2" Type="http://schemas.microsoft.com/office/2011/relationships/chartStyle" Target="style34.xml"/><Relationship Id="rId3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Relationship Id="rId2" Type="http://schemas.microsoft.com/office/2011/relationships/chartStyle" Target="style35.xml"/><Relationship Id="rId3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Relationship Id="rId2" Type="http://schemas.microsoft.com/office/2011/relationships/chartStyle" Target="style36.xml"/><Relationship Id="rId3" Type="http://schemas.microsoft.com/office/2011/relationships/chartColorStyle" Target="colors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Relationship Id="rId2" Type="http://schemas.microsoft.com/office/2011/relationships/chartStyle" Target="style37.xml"/><Relationship Id="rId3" Type="http://schemas.microsoft.com/office/2011/relationships/chartColorStyle" Target="colors3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Relationship Id="rId2" Type="http://schemas.microsoft.com/office/2011/relationships/chartStyle" Target="style38.xml"/><Relationship Id="rId3" Type="http://schemas.microsoft.com/office/2011/relationships/chartColorStyle" Target="colors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Relationship Id="rId2" Type="http://schemas.microsoft.com/office/2011/relationships/chartStyle" Target="style39.xml"/><Relationship Id="rId3" Type="http://schemas.microsoft.com/office/2011/relationships/chartColorStyle" Target="colors3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Relationship Id="rId2" Type="http://schemas.microsoft.com/office/2011/relationships/chartStyle" Target="style40.xml"/><Relationship Id="rId3" Type="http://schemas.microsoft.com/office/2011/relationships/chartColorStyle" Target="colors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Relationship Id="rId2" Type="http://schemas.microsoft.com/office/2011/relationships/chartStyle" Target="style41.xml"/><Relationship Id="rId3" Type="http://schemas.microsoft.com/office/2011/relationships/chartColorStyle" Target="colors41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Relationship Id="rId2" Type="http://schemas.microsoft.com/office/2011/relationships/chartStyle" Target="style42.xml"/><Relationship Id="rId3" Type="http://schemas.microsoft.com/office/2011/relationships/chartColorStyle" Target="colors4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Relationship Id="rId2" Type="http://schemas.microsoft.com/office/2011/relationships/chartStyle" Target="style43.xml"/><Relationship Id="rId3" Type="http://schemas.microsoft.com/office/2011/relationships/chartColorStyle" Target="colors43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Relationship Id="rId2" Type="http://schemas.microsoft.com/office/2011/relationships/chartStyle" Target="style44.xml"/><Relationship Id="rId3" Type="http://schemas.microsoft.com/office/2011/relationships/chartColorStyle" Target="colors4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Relationship Id="rId2" Type="http://schemas.microsoft.com/office/2011/relationships/chartStyle" Target="style45.xml"/><Relationship Id="rId3" Type="http://schemas.microsoft.com/office/2011/relationships/chartColorStyle" Target="colors45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Relationship Id="rId2" Type="http://schemas.microsoft.com/office/2011/relationships/chartStyle" Target="style46.xml"/><Relationship Id="rId3" Type="http://schemas.microsoft.com/office/2011/relationships/chartColorStyle" Target="colors46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Relationship Id="rId2" Type="http://schemas.microsoft.com/office/2011/relationships/chartStyle" Target="style47.xml"/><Relationship Id="rId3" Type="http://schemas.microsoft.com/office/2011/relationships/chartColorStyle" Target="colors47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Relationship Id="rId2" Type="http://schemas.microsoft.com/office/2011/relationships/chartStyle" Target="style48.xml"/><Relationship Id="rId3" Type="http://schemas.microsoft.com/office/2011/relationships/chartColorStyle" Target="colors4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Relationship Id="rId2" Type="http://schemas.microsoft.com/office/2011/relationships/chartStyle" Target="style49.xml"/><Relationship Id="rId3" Type="http://schemas.microsoft.com/office/2011/relationships/chartColorStyle" Target="colors49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Relationship Id="rId2" Type="http://schemas.microsoft.com/office/2011/relationships/chartStyle" Target="style50.xml"/><Relationship Id="rId3" Type="http://schemas.microsoft.com/office/2011/relationships/chartColorStyle" Target="colors50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Relationship Id="rId2" Type="http://schemas.microsoft.com/office/2011/relationships/chartStyle" Target="style51.xml"/><Relationship Id="rId3" Type="http://schemas.microsoft.com/office/2011/relationships/chartColorStyle" Target="colors51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Relationship Id="rId2" Type="http://schemas.microsoft.com/office/2011/relationships/chartStyle" Target="style52.xml"/><Relationship Id="rId3" Type="http://schemas.microsoft.com/office/2011/relationships/chartColorStyle" Target="colors52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Relationship Id="rId2" Type="http://schemas.microsoft.com/office/2011/relationships/chartStyle" Target="style53.xml"/><Relationship Id="rId3" Type="http://schemas.microsoft.com/office/2011/relationships/chartColorStyle" Target="colors53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Relationship Id="rId2" Type="http://schemas.microsoft.com/office/2011/relationships/chartStyle" Target="style54.xml"/><Relationship Id="rId3" Type="http://schemas.microsoft.com/office/2011/relationships/chartColorStyle" Target="colors54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Relationship Id="rId2" Type="http://schemas.microsoft.com/office/2011/relationships/chartStyle" Target="style55.xml"/><Relationship Id="rId3" Type="http://schemas.microsoft.com/office/2011/relationships/chartColorStyle" Target="colors5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Relationship Id="rId2" Type="http://schemas.microsoft.com/office/2011/relationships/chartStyle" Target="style56.xml"/><Relationship Id="rId3" Type="http://schemas.microsoft.com/office/2011/relationships/chartColorStyle" Target="colors56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Relationship Id="rId2" Type="http://schemas.microsoft.com/office/2011/relationships/chartStyle" Target="style57.xml"/><Relationship Id="rId3" Type="http://schemas.microsoft.com/office/2011/relationships/chartColorStyle" Target="colors5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Relationship Id="rId2" Type="http://schemas.microsoft.com/office/2011/relationships/chartStyle" Target="style58.xml"/><Relationship Id="rId3" Type="http://schemas.microsoft.com/office/2011/relationships/chartColorStyle" Target="colors5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Relationship Id="rId2" Type="http://schemas.microsoft.com/office/2011/relationships/chartStyle" Target="style59.xml"/><Relationship Id="rId3" Type="http://schemas.microsoft.com/office/2011/relationships/chartColorStyle" Target="colors59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Relationship Id="rId2" Type="http://schemas.microsoft.com/office/2011/relationships/chartStyle" Target="style60.xml"/><Relationship Id="rId3" Type="http://schemas.microsoft.com/office/2011/relationships/chartColorStyle" Target="colors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3.0</c:v>
                </c:pt>
                <c:pt idx="1">
                  <c:v>3.25</c:v>
                </c:pt>
                <c:pt idx="2">
                  <c:v>6.5</c:v>
                </c:pt>
                <c:pt idx="3">
                  <c:v>5.0</c:v>
                </c:pt>
                <c:pt idx="4">
                  <c:v>7.5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309816"/>
        <c:axId val="213731623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13.93666666666667</c:v>
                </c:pt>
                <c:pt idx="3">
                  <c:v>13.265</c:v>
                </c:pt>
                <c:pt idx="4">
                  <c:v>12.712</c:v>
                </c:pt>
                <c:pt idx="5">
                  <c:v>10.59333333333333</c:v>
                </c:pt>
                <c:pt idx="6">
                  <c:v>9.08</c:v>
                </c:pt>
                <c:pt idx="7">
                  <c:v>7.945</c:v>
                </c:pt>
                <c:pt idx="8">
                  <c:v>7.062222222222222</c:v>
                </c:pt>
                <c:pt idx="9">
                  <c:v>6.356</c:v>
                </c:pt>
                <c:pt idx="10">
                  <c:v>5.778181818181818</c:v>
                </c:pt>
                <c:pt idx="11">
                  <c:v>5.296666666666666</c:v>
                </c:pt>
                <c:pt idx="12">
                  <c:v>4.88923076923077</c:v>
                </c:pt>
                <c:pt idx="13">
                  <c:v>4.54</c:v>
                </c:pt>
                <c:pt idx="14">
                  <c:v>4.237333333333333</c:v>
                </c:pt>
                <c:pt idx="15">
                  <c:v>3.9725</c:v>
                </c:pt>
                <c:pt idx="16">
                  <c:v>3.738823529411765</c:v>
                </c:pt>
                <c:pt idx="17">
                  <c:v>3.531111111111111</c:v>
                </c:pt>
                <c:pt idx="18">
                  <c:v>3.345263157894737</c:v>
                </c:pt>
                <c:pt idx="19">
                  <c:v>3.178</c:v>
                </c:pt>
                <c:pt idx="20">
                  <c:v>3.026666666666667</c:v>
                </c:pt>
                <c:pt idx="21">
                  <c:v>2.889090909090909</c:v>
                </c:pt>
                <c:pt idx="22">
                  <c:v>2.763478260869565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309816"/>
        <c:axId val="2137316232"/>
      </c:lineChart>
      <c:catAx>
        <c:axId val="2137309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16232"/>
        <c:crosses val="autoZero"/>
        <c:auto val="0"/>
        <c:lblAlgn val="ctr"/>
        <c:lblOffset val="100"/>
        <c:noMultiLvlLbl val="0"/>
      </c:catAx>
      <c:valAx>
        <c:axId val="213731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0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0.0</c:v>
                </c:pt>
                <c:pt idx="1">
                  <c:v>4.0</c:v>
                </c:pt>
                <c:pt idx="2">
                  <c:v>3.5</c:v>
                </c:pt>
                <c:pt idx="3">
                  <c:v>0.0</c:v>
                </c:pt>
                <c:pt idx="4">
                  <c:v>1.0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5.0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823896"/>
        <c:axId val="21370112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2.0</c:v>
                </c:pt>
                <c:pt idx="1">
                  <c:v>5.75</c:v>
                </c:pt>
                <c:pt idx="2">
                  <c:v>5.8</c:v>
                </c:pt>
                <c:pt idx="3">
                  <c:v>6.0375</c:v>
                </c:pt>
                <c:pt idx="4">
                  <c:v>6.13</c:v>
                </c:pt>
                <c:pt idx="5">
                  <c:v>5.108333333333333</c:v>
                </c:pt>
                <c:pt idx="6">
                  <c:v>4.378571428571428</c:v>
                </c:pt>
                <c:pt idx="7">
                  <c:v>3.83125</c:v>
                </c:pt>
                <c:pt idx="8">
                  <c:v>3.405555555555555</c:v>
                </c:pt>
                <c:pt idx="9">
                  <c:v>3.065</c:v>
                </c:pt>
                <c:pt idx="10">
                  <c:v>2.786363636363636</c:v>
                </c:pt>
                <c:pt idx="11">
                  <c:v>2.554166666666667</c:v>
                </c:pt>
                <c:pt idx="12">
                  <c:v>2.357692307692308</c:v>
                </c:pt>
                <c:pt idx="13">
                  <c:v>2.189285714285714</c:v>
                </c:pt>
                <c:pt idx="14">
                  <c:v>2.043333333333333</c:v>
                </c:pt>
                <c:pt idx="15">
                  <c:v>1.915625</c:v>
                </c:pt>
                <c:pt idx="16">
                  <c:v>1.802941176470588</c:v>
                </c:pt>
                <c:pt idx="17">
                  <c:v>1.702777777777778</c:v>
                </c:pt>
                <c:pt idx="18">
                  <c:v>1.613157894736842</c:v>
                </c:pt>
                <c:pt idx="19">
                  <c:v>1.5325</c:v>
                </c:pt>
                <c:pt idx="20">
                  <c:v>1.459523809523809</c:v>
                </c:pt>
                <c:pt idx="21">
                  <c:v>1.393181818181818</c:v>
                </c:pt>
                <c:pt idx="22">
                  <c:v>1.332608695652174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823896"/>
        <c:axId val="2137011288"/>
      </c:lineChart>
      <c:catAx>
        <c:axId val="2137823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011288"/>
        <c:crosses val="autoZero"/>
        <c:auto val="0"/>
        <c:lblAlgn val="ctr"/>
        <c:lblOffset val="100"/>
        <c:noMultiLvlLbl val="0"/>
      </c:catAx>
      <c:valAx>
        <c:axId val="2137011288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82389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</c:v>
                </c:pt>
                <c:pt idx="3">
                  <c:v>5.75</c:v>
                </c:pt>
                <c:pt idx="4">
                  <c:v>1.5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0.0</c:v>
                </c:pt>
                <c:pt idx="1">
                  <c:v>0.5</c:v>
                </c:pt>
                <c:pt idx="2">
                  <c:v>0.5</c:v>
                </c:pt>
                <c:pt idx="3">
                  <c:v>0.0</c:v>
                </c:pt>
                <c:pt idx="4">
                  <c:v>1.5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716536"/>
        <c:axId val="213772295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</c:v>
                </c:pt>
                <c:pt idx="2">
                  <c:v>2.97</c:v>
                </c:pt>
                <c:pt idx="3">
                  <c:v>2.3525</c:v>
                </c:pt>
                <c:pt idx="4">
                  <c:v>2.282</c:v>
                </c:pt>
                <c:pt idx="5">
                  <c:v>1.901666666666667</c:v>
                </c:pt>
                <c:pt idx="6">
                  <c:v>1.63</c:v>
                </c:pt>
                <c:pt idx="7">
                  <c:v>1.42625</c:v>
                </c:pt>
                <c:pt idx="8">
                  <c:v>1.267777777777778</c:v>
                </c:pt>
                <c:pt idx="9">
                  <c:v>1.141</c:v>
                </c:pt>
                <c:pt idx="10">
                  <c:v>1.037272727272727</c:v>
                </c:pt>
                <c:pt idx="11">
                  <c:v>0.950833333333333</c:v>
                </c:pt>
                <c:pt idx="12">
                  <c:v>0.877692307692308</c:v>
                </c:pt>
                <c:pt idx="13">
                  <c:v>0.815</c:v>
                </c:pt>
                <c:pt idx="14">
                  <c:v>0.760666666666667</c:v>
                </c:pt>
                <c:pt idx="15">
                  <c:v>0.713125</c:v>
                </c:pt>
                <c:pt idx="16">
                  <c:v>0.671176470588235</c:v>
                </c:pt>
                <c:pt idx="17">
                  <c:v>0.633888888888889</c:v>
                </c:pt>
                <c:pt idx="18">
                  <c:v>0.600526315789474</c:v>
                </c:pt>
                <c:pt idx="19">
                  <c:v>0.5705</c:v>
                </c:pt>
                <c:pt idx="20">
                  <c:v>0.543333333333333</c:v>
                </c:pt>
                <c:pt idx="21">
                  <c:v>0.518636363636364</c:v>
                </c:pt>
                <c:pt idx="22">
                  <c:v>0.496086956521739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716536"/>
        <c:axId val="2137722952"/>
      </c:lineChart>
      <c:catAx>
        <c:axId val="2137716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22952"/>
        <c:crosses val="autoZero"/>
        <c:auto val="0"/>
        <c:lblAlgn val="ctr"/>
        <c:lblOffset val="100"/>
        <c:noMultiLvlLbl val="0"/>
      </c:catAx>
      <c:valAx>
        <c:axId val="2137722952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71653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4.0</c:v>
                </c:pt>
                <c:pt idx="3">
                  <c:v>0.5</c:v>
                </c:pt>
                <c:pt idx="4">
                  <c:v>0.5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1.0</c:v>
                </c:pt>
                <c:pt idx="1">
                  <c:v>1.75</c:v>
                </c:pt>
                <c:pt idx="2">
                  <c:v>5.0</c:v>
                </c:pt>
                <c:pt idx="3">
                  <c:v>0.0</c:v>
                </c:pt>
                <c:pt idx="4">
                  <c:v>1.0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441416"/>
        <c:axId val="213744783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</c:v>
                </c:pt>
                <c:pt idx="3">
                  <c:v>2.0</c:v>
                </c:pt>
                <c:pt idx="4">
                  <c:v>1.8</c:v>
                </c:pt>
                <c:pt idx="5">
                  <c:v>1.5</c:v>
                </c:pt>
                <c:pt idx="6">
                  <c:v>1.285714285714286</c:v>
                </c:pt>
                <c:pt idx="7">
                  <c:v>1.125</c:v>
                </c:pt>
                <c:pt idx="8">
                  <c:v>1.0</c:v>
                </c:pt>
                <c:pt idx="9">
                  <c:v>0.9</c:v>
                </c:pt>
                <c:pt idx="10">
                  <c:v>0.818181818181818</c:v>
                </c:pt>
                <c:pt idx="11">
                  <c:v>0.75</c:v>
                </c:pt>
                <c:pt idx="12">
                  <c:v>0.692307692307692</c:v>
                </c:pt>
                <c:pt idx="13">
                  <c:v>0.642857142857143</c:v>
                </c:pt>
                <c:pt idx="14">
                  <c:v>0.6</c:v>
                </c:pt>
                <c:pt idx="15">
                  <c:v>0.5625</c:v>
                </c:pt>
                <c:pt idx="16">
                  <c:v>0.529411764705882</c:v>
                </c:pt>
                <c:pt idx="17">
                  <c:v>0.5</c:v>
                </c:pt>
                <c:pt idx="18">
                  <c:v>0.473684210526316</c:v>
                </c:pt>
                <c:pt idx="19">
                  <c:v>0.45</c:v>
                </c:pt>
                <c:pt idx="20">
                  <c:v>0.428571428571429</c:v>
                </c:pt>
                <c:pt idx="21">
                  <c:v>0.409090909090909</c:v>
                </c:pt>
                <c:pt idx="22">
                  <c:v>0.391304347826087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441416"/>
        <c:axId val="2137447832"/>
      </c:lineChart>
      <c:catAx>
        <c:axId val="2137441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447832"/>
        <c:crosses val="autoZero"/>
        <c:auto val="0"/>
        <c:lblAlgn val="ctr"/>
        <c:lblOffset val="100"/>
        <c:noMultiLvlLbl val="0"/>
      </c:catAx>
      <c:valAx>
        <c:axId val="2137447832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44141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0.0178361369601527"/>
          <c:y val="0.036342980439177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506392"/>
        <c:axId val="213751280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42254.0</c:v>
                </c:pt>
                <c:pt idx="1">
                  <c:v>42261.0</c:v>
                </c:pt>
                <c:pt idx="2">
                  <c:v>42268.0</c:v>
                </c:pt>
                <c:pt idx="3">
                  <c:v>42275.0</c:v>
                </c:pt>
                <c:pt idx="4">
                  <c:v>42282.0</c:v>
                </c:pt>
                <c:pt idx="5">
                  <c:v>42289.0</c:v>
                </c:pt>
                <c:pt idx="6">
                  <c:v>42296.0</c:v>
                </c:pt>
                <c:pt idx="7">
                  <c:v>42303.0</c:v>
                </c:pt>
                <c:pt idx="8">
                  <c:v>42310.0</c:v>
                </c:pt>
                <c:pt idx="9">
                  <c:v>42317.0</c:v>
                </c:pt>
                <c:pt idx="10">
                  <c:v>42324.0</c:v>
                </c:pt>
                <c:pt idx="11">
                  <c:v>42380.0</c:v>
                </c:pt>
                <c:pt idx="12">
                  <c:v>42387.0</c:v>
                </c:pt>
                <c:pt idx="13">
                  <c:v>42394.0</c:v>
                </c:pt>
                <c:pt idx="14">
                  <c:v>42401.0</c:v>
                </c:pt>
                <c:pt idx="15">
                  <c:v>42408.0</c:v>
                </c:pt>
                <c:pt idx="16">
                  <c:v>42415.0</c:v>
                </c:pt>
                <c:pt idx="17">
                  <c:v>42422.0</c:v>
                </c:pt>
                <c:pt idx="18">
                  <c:v>42429.0</c:v>
                </c:pt>
                <c:pt idx="19">
                  <c:v>42436.0</c:v>
                </c:pt>
                <c:pt idx="20">
                  <c:v>42443.0</c:v>
                </c:pt>
                <c:pt idx="21">
                  <c:v>42450.0</c:v>
                </c:pt>
                <c:pt idx="22">
                  <c:v>42457.0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0.0</c:v>
                </c:pt>
                <c:pt idx="1">
                  <c:v>6.875</c:v>
                </c:pt>
                <c:pt idx="2">
                  <c:v>8.716666666666666</c:v>
                </c:pt>
                <c:pt idx="3">
                  <c:v>9.1</c:v>
                </c:pt>
                <c:pt idx="4">
                  <c:v>7.88</c:v>
                </c:pt>
                <c:pt idx="5">
                  <c:v>6.566666666666666</c:v>
                </c:pt>
                <c:pt idx="6">
                  <c:v>5.628571428571428</c:v>
                </c:pt>
                <c:pt idx="7">
                  <c:v>4.925</c:v>
                </c:pt>
                <c:pt idx="8">
                  <c:v>4.377777777777777</c:v>
                </c:pt>
                <c:pt idx="9">
                  <c:v>3.94</c:v>
                </c:pt>
                <c:pt idx="10">
                  <c:v>3.581818181818182</c:v>
                </c:pt>
                <c:pt idx="11">
                  <c:v>3.283333333333333</c:v>
                </c:pt>
                <c:pt idx="12">
                  <c:v>3.030769230769231</c:v>
                </c:pt>
                <c:pt idx="13">
                  <c:v>2.814285714285714</c:v>
                </c:pt>
                <c:pt idx="14">
                  <c:v>2.626666666666666</c:v>
                </c:pt>
                <c:pt idx="15">
                  <c:v>2.4625</c:v>
                </c:pt>
                <c:pt idx="16">
                  <c:v>2.317647058823529</c:v>
                </c:pt>
                <c:pt idx="17">
                  <c:v>2.188888888888889</c:v>
                </c:pt>
                <c:pt idx="18">
                  <c:v>2.073684210526315</c:v>
                </c:pt>
                <c:pt idx="19">
                  <c:v>1.97</c:v>
                </c:pt>
                <c:pt idx="20">
                  <c:v>1.876190476190476</c:v>
                </c:pt>
                <c:pt idx="21">
                  <c:v>1.790909090909091</c:v>
                </c:pt>
                <c:pt idx="22">
                  <c:v>1.713043478260869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506392"/>
        <c:axId val="2137512808"/>
      </c:lineChart>
      <c:catAx>
        <c:axId val="2137506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512808"/>
        <c:crosses val="autoZero"/>
        <c:auto val="0"/>
        <c:lblAlgn val="ctr"/>
        <c:lblOffset val="100"/>
        <c:noMultiLvlLbl val="0"/>
      </c:catAx>
      <c:valAx>
        <c:axId val="2137512808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5063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0.0</c:v>
                </c:pt>
                <c:pt idx="1">
                  <c:v>0.58</c:v>
                </c:pt>
                <c:pt idx="2">
                  <c:v>1.0</c:v>
                </c:pt>
                <c:pt idx="3">
                  <c:v>1.33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2.5</c:v>
                </c:pt>
                <c:pt idx="9">
                  <c:v>3.0</c:v>
                </c:pt>
                <c:pt idx="10">
                  <c:v>3.75</c:v>
                </c:pt>
                <c:pt idx="11">
                  <c:v>2.0</c:v>
                </c:pt>
                <c:pt idx="12">
                  <c:v>0.0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1.0</c:v>
                </c:pt>
                <c:pt idx="17">
                  <c:v>2.0</c:v>
                </c:pt>
                <c:pt idx="18">
                  <c:v>0.0</c:v>
                </c:pt>
                <c:pt idx="19">
                  <c:v>3.5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2.0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3.0</c:v>
                </c:pt>
                <c:pt idx="15">
                  <c:v>1.5</c:v>
                </c:pt>
                <c:pt idx="16">
                  <c:v>1.0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666376"/>
        <c:axId val="21376727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0.0</c:v>
                </c:pt>
                <c:pt idx="1">
                  <c:v>0.29</c:v>
                </c:pt>
                <c:pt idx="2">
                  <c:v>0.526666666666667</c:v>
                </c:pt>
                <c:pt idx="3">
                  <c:v>1.4775</c:v>
                </c:pt>
                <c:pt idx="4">
                  <c:v>1.182</c:v>
                </c:pt>
                <c:pt idx="5">
                  <c:v>0.985</c:v>
                </c:pt>
                <c:pt idx="6">
                  <c:v>0.844285714285714</c:v>
                </c:pt>
                <c:pt idx="7">
                  <c:v>0.73875</c:v>
                </c:pt>
                <c:pt idx="8">
                  <c:v>1.156666666666667</c:v>
                </c:pt>
                <c:pt idx="9">
                  <c:v>1.441</c:v>
                </c:pt>
                <c:pt idx="10">
                  <c:v>1.673636363636364</c:v>
                </c:pt>
                <c:pt idx="11">
                  <c:v>1.700833333333333</c:v>
                </c:pt>
                <c:pt idx="12">
                  <c:v>1.57</c:v>
                </c:pt>
                <c:pt idx="13">
                  <c:v>1.636428571428571</c:v>
                </c:pt>
                <c:pt idx="14">
                  <c:v>1.954</c:v>
                </c:pt>
                <c:pt idx="15">
                  <c:v>2.081875</c:v>
                </c:pt>
                <c:pt idx="16">
                  <c:v>2.077058823529412</c:v>
                </c:pt>
                <c:pt idx="17">
                  <c:v>2.100555555555556</c:v>
                </c:pt>
                <c:pt idx="18">
                  <c:v>1.99</c:v>
                </c:pt>
                <c:pt idx="19">
                  <c:v>2.0905</c:v>
                </c:pt>
                <c:pt idx="20">
                  <c:v>1.990952380952381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666376"/>
        <c:axId val="2137672760"/>
      </c:lineChart>
      <c:catAx>
        <c:axId val="2137666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72760"/>
        <c:crosses val="autoZero"/>
        <c:auto val="1"/>
        <c:lblAlgn val="ctr"/>
        <c:lblOffset val="100"/>
        <c:noMultiLvlLbl val="1"/>
      </c:catAx>
      <c:valAx>
        <c:axId val="213767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66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2.0</c:v>
                </c:pt>
                <c:pt idx="11">
                  <c:v>2.0</c:v>
                </c:pt>
                <c:pt idx="12">
                  <c:v>0.0</c:v>
                </c:pt>
                <c:pt idx="13">
                  <c:v>0.0</c:v>
                </c:pt>
                <c:pt idx="14">
                  <c:v>0.5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3.0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110088"/>
        <c:axId val="21371164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0.5</c:v>
                </c:pt>
                <c:pt idx="4">
                  <c:v>0.4</c:v>
                </c:pt>
                <c:pt idx="5">
                  <c:v>0.333333333333333</c:v>
                </c:pt>
                <c:pt idx="6">
                  <c:v>0.285714285714286</c:v>
                </c:pt>
                <c:pt idx="7">
                  <c:v>0.25</c:v>
                </c:pt>
                <c:pt idx="8">
                  <c:v>0.333333333333333</c:v>
                </c:pt>
                <c:pt idx="9">
                  <c:v>0.3</c:v>
                </c:pt>
                <c:pt idx="10">
                  <c:v>0.454545454545454</c:v>
                </c:pt>
                <c:pt idx="11">
                  <c:v>0.583333333333333</c:v>
                </c:pt>
                <c:pt idx="12">
                  <c:v>0.538461538461538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</c:v>
                </c:pt>
                <c:pt idx="18">
                  <c:v>0.447368421052632</c:v>
                </c:pt>
                <c:pt idx="19">
                  <c:v>0.575</c:v>
                </c:pt>
                <c:pt idx="20">
                  <c:v>0.547619047619048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110088"/>
        <c:axId val="2137116472"/>
      </c:lineChart>
      <c:catAx>
        <c:axId val="2137110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116472"/>
        <c:crosses val="autoZero"/>
        <c:auto val="1"/>
        <c:lblAlgn val="ctr"/>
        <c:lblOffset val="100"/>
        <c:noMultiLvlLbl val="1"/>
      </c:catAx>
      <c:valAx>
        <c:axId val="21371164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1100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0.0</c:v>
                </c:pt>
                <c:pt idx="1">
                  <c:v>0.33</c:v>
                </c:pt>
                <c:pt idx="2">
                  <c:v>1.0</c:v>
                </c:pt>
                <c:pt idx="3">
                  <c:v>1.33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2.5</c:v>
                </c:pt>
                <c:pt idx="9">
                  <c:v>2.0</c:v>
                </c:pt>
                <c:pt idx="10">
                  <c:v>1.5</c:v>
                </c:pt>
                <c:pt idx="11">
                  <c:v>0.0</c:v>
                </c:pt>
                <c:pt idx="12">
                  <c:v>0.0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1.0</c:v>
                </c:pt>
                <c:pt idx="17">
                  <c:v>1.5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9551336"/>
        <c:axId val="21394973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0.0</c:v>
                </c:pt>
                <c:pt idx="1">
                  <c:v>0.165</c:v>
                </c:pt>
                <c:pt idx="2">
                  <c:v>0.443333333333333</c:v>
                </c:pt>
                <c:pt idx="3">
                  <c:v>0.665</c:v>
                </c:pt>
                <c:pt idx="4">
                  <c:v>0.532</c:v>
                </c:pt>
                <c:pt idx="5">
                  <c:v>0.443333333333333</c:v>
                </c:pt>
                <c:pt idx="6">
                  <c:v>0.38</c:v>
                </c:pt>
                <c:pt idx="7">
                  <c:v>0.3325</c:v>
                </c:pt>
                <c:pt idx="8">
                  <c:v>0.628888888888889</c:v>
                </c:pt>
                <c:pt idx="9">
                  <c:v>0.766</c:v>
                </c:pt>
                <c:pt idx="10">
                  <c:v>0.832727272727273</c:v>
                </c:pt>
                <c:pt idx="11">
                  <c:v>0.763333333333333</c:v>
                </c:pt>
                <c:pt idx="12">
                  <c:v>0.704615384615385</c:v>
                </c:pt>
                <c:pt idx="13">
                  <c:v>0.832857142857143</c:v>
                </c:pt>
                <c:pt idx="14">
                  <c:v>0.904</c:v>
                </c:pt>
                <c:pt idx="15">
                  <c:v>0.91</c:v>
                </c:pt>
                <c:pt idx="16">
                  <c:v>0.915294117647059</c:v>
                </c:pt>
                <c:pt idx="17">
                  <c:v>0.947777777777778</c:v>
                </c:pt>
                <c:pt idx="18">
                  <c:v>0.897894736842105</c:v>
                </c:pt>
                <c:pt idx="19">
                  <c:v>0.853</c:v>
                </c:pt>
                <c:pt idx="20">
                  <c:v>0.812380952380952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551336"/>
        <c:axId val="2139497368"/>
      </c:lineChart>
      <c:catAx>
        <c:axId val="2139551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97368"/>
        <c:crosses val="autoZero"/>
        <c:auto val="1"/>
        <c:lblAlgn val="ctr"/>
        <c:lblOffset val="100"/>
        <c:noMultiLvlLbl val="1"/>
      </c:catAx>
      <c:valAx>
        <c:axId val="213949736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55133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1.0</c:v>
                </c:pt>
                <c:pt idx="15">
                  <c:v>2.0</c:v>
                </c:pt>
                <c:pt idx="16">
                  <c:v>0.0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0.5</c:v>
                </c:pt>
                <c:pt idx="9">
                  <c:v>1.0</c:v>
                </c:pt>
                <c:pt idx="10">
                  <c:v>0.25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3.0</c:v>
                </c:pt>
                <c:pt idx="15">
                  <c:v>0.0</c:v>
                </c:pt>
                <c:pt idx="16">
                  <c:v>1.0</c:v>
                </c:pt>
                <c:pt idx="17">
                  <c:v>0.5</c:v>
                </c:pt>
                <c:pt idx="18">
                  <c:v>0.0</c:v>
                </c:pt>
                <c:pt idx="19">
                  <c:v>0.5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9454696"/>
        <c:axId val="213946108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0.0</c:v>
                </c:pt>
                <c:pt idx="1">
                  <c:v>0.125</c:v>
                </c:pt>
                <c:pt idx="2">
                  <c:v>0.0833333333333333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</c:v>
                </c:pt>
                <c:pt idx="6">
                  <c:v>0.178571428571429</c:v>
                </c:pt>
                <c:pt idx="7">
                  <c:v>0.15625</c:v>
                </c:pt>
                <c:pt idx="8">
                  <c:v>0.194444444444444</c:v>
                </c:pt>
                <c:pt idx="9">
                  <c:v>0.375</c:v>
                </c:pt>
                <c:pt idx="10">
                  <c:v>0.386363636363636</c:v>
                </c:pt>
                <c:pt idx="11">
                  <c:v>0.354166666666667</c:v>
                </c:pt>
                <c:pt idx="12">
                  <c:v>0.326923076923077</c:v>
                </c:pt>
                <c:pt idx="13">
                  <c:v>0.303571428571429</c:v>
                </c:pt>
                <c:pt idx="14">
                  <c:v>0.55</c:v>
                </c:pt>
                <c:pt idx="15">
                  <c:v>0.640625</c:v>
                </c:pt>
                <c:pt idx="16">
                  <c:v>0.661764705882353</c:v>
                </c:pt>
                <c:pt idx="17">
                  <c:v>0.680555555555555</c:v>
                </c:pt>
                <c:pt idx="18">
                  <c:v>0.644736842105263</c:v>
                </c:pt>
                <c:pt idx="19">
                  <c:v>0.6625</c:v>
                </c:pt>
                <c:pt idx="20">
                  <c:v>0.630952380952381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454696"/>
        <c:axId val="2139461080"/>
      </c:lineChart>
      <c:catAx>
        <c:axId val="2139454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61080"/>
        <c:crosses val="autoZero"/>
        <c:auto val="1"/>
        <c:lblAlgn val="ctr"/>
        <c:lblOffset val="100"/>
        <c:noMultiLvlLbl val="1"/>
      </c:catAx>
      <c:valAx>
        <c:axId val="21394610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5469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42254.0</c:v>
                </c:pt>
                <c:pt idx="1">
                  <c:v>42255.0</c:v>
                </c:pt>
                <c:pt idx="2">
                  <c:v>42256.0</c:v>
                </c:pt>
                <c:pt idx="3">
                  <c:v>42257.0</c:v>
                </c:pt>
                <c:pt idx="4">
                  <c:v>42258.0</c:v>
                </c:pt>
                <c:pt idx="5">
                  <c:v>42259.0</c:v>
                </c:pt>
                <c:pt idx="6">
                  <c:v>42260.0</c:v>
                </c:pt>
                <c:pt idx="7">
                  <c:v>42261.0</c:v>
                </c:pt>
                <c:pt idx="8">
                  <c:v>42262.0</c:v>
                </c:pt>
                <c:pt idx="9">
                  <c:v>42263.0</c:v>
                </c:pt>
                <c:pt idx="10">
                  <c:v>42264.0</c:v>
                </c:pt>
                <c:pt idx="11">
                  <c:v>42265.0</c:v>
                </c:pt>
                <c:pt idx="12">
                  <c:v>42266.0</c:v>
                </c:pt>
                <c:pt idx="13">
                  <c:v>42267.0</c:v>
                </c:pt>
                <c:pt idx="14">
                  <c:v>42268.0</c:v>
                </c:pt>
                <c:pt idx="15">
                  <c:v>42269.0</c:v>
                </c:pt>
                <c:pt idx="16">
                  <c:v>42270.0</c:v>
                </c:pt>
                <c:pt idx="17">
                  <c:v>42271.0</c:v>
                </c:pt>
                <c:pt idx="18">
                  <c:v>42272.0</c:v>
                </c:pt>
                <c:pt idx="19">
                  <c:v>42273.0</c:v>
                </c:pt>
                <c:pt idx="20">
                  <c:v>42274.0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030168"/>
        <c:axId val="213723173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30168"/>
        <c:axId val="2137231736"/>
      </c:lineChart>
      <c:catAx>
        <c:axId val="2137030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231736"/>
        <c:crosses val="autoZero"/>
        <c:auto val="1"/>
        <c:lblAlgn val="ctr"/>
        <c:lblOffset val="100"/>
        <c:noMultiLvlLbl val="1"/>
      </c:catAx>
      <c:valAx>
        <c:axId val="21372317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03016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4.0</c:v>
                </c:pt>
                <c:pt idx="1">
                  <c:v>0.75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0.0</c:v>
                </c:pt>
                <c:pt idx="1">
                  <c:v>1.5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2.5</c:v>
                </c:pt>
                <c:pt idx="7">
                  <c:v>4.5</c:v>
                </c:pt>
                <c:pt idx="8">
                  <c:v>2.0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203848"/>
        <c:axId val="2137210232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4.0</c:v>
                </c:pt>
                <c:pt idx="1">
                  <c:v>3.125</c:v>
                </c:pt>
                <c:pt idx="2">
                  <c:v>2.083333333333333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</c:v>
                </c:pt>
                <c:pt idx="6">
                  <c:v>1.535714285714286</c:v>
                </c:pt>
                <c:pt idx="7">
                  <c:v>1.90625</c:v>
                </c:pt>
                <c:pt idx="8">
                  <c:v>1.916666666666666</c:v>
                </c:pt>
                <c:pt idx="9">
                  <c:v>1.775</c:v>
                </c:pt>
                <c:pt idx="10">
                  <c:v>1.613636363636364</c:v>
                </c:pt>
                <c:pt idx="11">
                  <c:v>1.479166666666667</c:v>
                </c:pt>
                <c:pt idx="12">
                  <c:v>1.365384615384615</c:v>
                </c:pt>
                <c:pt idx="13">
                  <c:v>1.517857142857143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203848"/>
        <c:axId val="2137210232"/>
      </c:lineChart>
      <c:catAx>
        <c:axId val="2137203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210232"/>
        <c:crosses val="autoZero"/>
        <c:auto val="0"/>
        <c:lblAlgn val="ctr"/>
        <c:lblOffset val="100"/>
        <c:noMultiLvlLbl val="1"/>
      </c:catAx>
      <c:valAx>
        <c:axId val="213721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203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4.5</c:v>
                </c:pt>
                <c:pt idx="8">
                  <c:v>0.5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426440"/>
        <c:axId val="20463423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0.0</c:v>
                </c:pt>
                <c:pt idx="1">
                  <c:v>0.25</c:v>
                </c:pt>
                <c:pt idx="2">
                  <c:v>0.166666666666667</c:v>
                </c:pt>
                <c:pt idx="3">
                  <c:v>0.25</c:v>
                </c:pt>
                <c:pt idx="4">
                  <c:v>0.2</c:v>
                </c:pt>
                <c:pt idx="5">
                  <c:v>0.166666666666667</c:v>
                </c:pt>
                <c:pt idx="6">
                  <c:v>0.142857142857143</c:v>
                </c:pt>
                <c:pt idx="7">
                  <c:v>0.6875</c:v>
                </c:pt>
                <c:pt idx="8">
                  <c:v>0.666666666666667</c:v>
                </c:pt>
                <c:pt idx="9">
                  <c:v>0.6</c:v>
                </c:pt>
                <c:pt idx="10">
                  <c:v>0.545454545454545</c:v>
                </c:pt>
                <c:pt idx="11">
                  <c:v>0.5</c:v>
                </c:pt>
                <c:pt idx="12">
                  <c:v>0.461538461538462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426440"/>
        <c:axId val="2046342360"/>
      </c:lineChart>
      <c:catAx>
        <c:axId val="2046426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342360"/>
        <c:crosses val="autoZero"/>
        <c:auto val="1"/>
        <c:lblAlgn val="ctr"/>
        <c:lblOffset val="100"/>
        <c:noMultiLvlLbl val="1"/>
      </c:catAx>
      <c:valAx>
        <c:axId val="204634236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4264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4.0</c:v>
                </c:pt>
                <c:pt idx="1">
                  <c:v>0.75</c:v>
                </c:pt>
                <c:pt idx="2">
                  <c:v>0.0</c:v>
                </c:pt>
                <c:pt idx="3">
                  <c:v>0.5</c:v>
                </c:pt>
                <c:pt idx="4">
                  <c:v>0.0</c:v>
                </c:pt>
                <c:pt idx="5">
                  <c:v>0.0</c:v>
                </c:pt>
                <c:pt idx="6">
                  <c:v>0.5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0168536"/>
        <c:axId val="21401749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4.0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1.15</c:v>
                </c:pt>
                <c:pt idx="5">
                  <c:v>0.958333333333333</c:v>
                </c:pt>
                <c:pt idx="6">
                  <c:v>0.892857142857143</c:v>
                </c:pt>
                <c:pt idx="7">
                  <c:v>0.78125</c:v>
                </c:pt>
                <c:pt idx="8">
                  <c:v>0.861111111111111</c:v>
                </c:pt>
                <c:pt idx="9">
                  <c:v>0.775</c:v>
                </c:pt>
                <c:pt idx="10">
                  <c:v>0.704545454545455</c:v>
                </c:pt>
                <c:pt idx="11">
                  <c:v>0.645833333333333</c:v>
                </c:pt>
                <c:pt idx="12">
                  <c:v>0.596153846153846</c:v>
                </c:pt>
                <c:pt idx="13">
                  <c:v>0.660714285714286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168536"/>
        <c:axId val="2140174920"/>
      </c:lineChart>
      <c:catAx>
        <c:axId val="2140168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174920"/>
        <c:crosses val="autoZero"/>
        <c:auto val="1"/>
        <c:lblAlgn val="ctr"/>
        <c:lblOffset val="100"/>
        <c:noMultiLvlLbl val="1"/>
      </c:catAx>
      <c:valAx>
        <c:axId val="21401749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16853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0.5</c:v>
                </c:pt>
                <c:pt idx="7">
                  <c:v>0.0</c:v>
                </c:pt>
                <c:pt idx="8">
                  <c:v>0.0</c:v>
                </c:pt>
                <c:pt idx="9">
                  <c:v>0.5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2.5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953320"/>
        <c:axId val="214597272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0.0</c:v>
                </c:pt>
                <c:pt idx="1">
                  <c:v>0.25</c:v>
                </c:pt>
                <c:pt idx="2">
                  <c:v>0.166666666666667</c:v>
                </c:pt>
                <c:pt idx="3">
                  <c:v>0.125</c:v>
                </c:pt>
                <c:pt idx="4">
                  <c:v>0.1</c:v>
                </c:pt>
                <c:pt idx="5">
                  <c:v>0.0833333333333333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0.388888888888889</c:v>
                </c:pt>
                <c:pt idx="9">
                  <c:v>0.4</c:v>
                </c:pt>
                <c:pt idx="10">
                  <c:v>0.363636363636364</c:v>
                </c:pt>
                <c:pt idx="11">
                  <c:v>0.333333333333333</c:v>
                </c:pt>
                <c:pt idx="12">
                  <c:v>0.307692307692308</c:v>
                </c:pt>
                <c:pt idx="13">
                  <c:v>0.357142857142857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953320"/>
        <c:axId val="2145972728"/>
      </c:lineChart>
      <c:catAx>
        <c:axId val="2145953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972728"/>
        <c:crosses val="autoZero"/>
        <c:auto val="1"/>
        <c:lblAlgn val="ctr"/>
        <c:lblOffset val="100"/>
        <c:noMultiLvlLbl val="1"/>
      </c:catAx>
      <c:valAx>
        <c:axId val="214597272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95332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864792"/>
        <c:axId val="214601708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64792"/>
        <c:axId val="2146017080"/>
      </c:lineChart>
      <c:catAx>
        <c:axId val="2145864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017080"/>
        <c:crosses val="autoZero"/>
        <c:auto val="1"/>
        <c:lblAlgn val="ctr"/>
        <c:lblOffset val="100"/>
        <c:noMultiLvlLbl val="1"/>
      </c:catAx>
      <c:valAx>
        <c:axId val="21460170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647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088808"/>
        <c:axId val="214609519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088808"/>
        <c:axId val="2146095192"/>
      </c:lineChart>
      <c:catAx>
        <c:axId val="2146088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095192"/>
        <c:crosses val="autoZero"/>
        <c:auto val="0"/>
        <c:lblAlgn val="ctr"/>
        <c:lblOffset val="100"/>
        <c:noMultiLvlLbl val="1"/>
      </c:catAx>
      <c:valAx>
        <c:axId val="214609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08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153224"/>
        <c:axId val="214615960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153224"/>
        <c:axId val="2146159608"/>
      </c:lineChart>
      <c:catAx>
        <c:axId val="2146153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159608"/>
        <c:crosses val="autoZero"/>
        <c:auto val="1"/>
        <c:lblAlgn val="ctr"/>
        <c:lblOffset val="100"/>
        <c:noMultiLvlLbl val="1"/>
      </c:catAx>
      <c:valAx>
        <c:axId val="214615960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15322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214312"/>
        <c:axId val="21462206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214312"/>
        <c:axId val="2146220696"/>
      </c:lineChart>
      <c:catAx>
        <c:axId val="2146214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220696"/>
        <c:crosses val="autoZero"/>
        <c:auto val="1"/>
        <c:lblAlgn val="ctr"/>
        <c:lblOffset val="100"/>
        <c:noMultiLvlLbl val="1"/>
      </c:catAx>
      <c:valAx>
        <c:axId val="21462206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2143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275336"/>
        <c:axId val="21462817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275336"/>
        <c:axId val="2146281720"/>
      </c:lineChart>
      <c:catAx>
        <c:axId val="2146275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281720"/>
        <c:crosses val="autoZero"/>
        <c:auto val="1"/>
        <c:lblAlgn val="ctr"/>
        <c:lblOffset val="100"/>
        <c:noMultiLvlLbl val="1"/>
      </c:catAx>
      <c:valAx>
        <c:axId val="21462817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27533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336440"/>
        <c:axId val="21463428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336440"/>
        <c:axId val="2146342824"/>
      </c:lineChart>
      <c:catAx>
        <c:axId val="2146336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342824"/>
        <c:crosses val="autoZero"/>
        <c:auto val="1"/>
        <c:lblAlgn val="ctr"/>
        <c:lblOffset val="100"/>
        <c:noMultiLvlLbl val="1"/>
      </c:catAx>
      <c:valAx>
        <c:axId val="21463428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3364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417064"/>
        <c:axId val="2145717464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417064"/>
        <c:axId val="2145717464"/>
      </c:lineChart>
      <c:catAx>
        <c:axId val="2146417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717464"/>
        <c:crosses val="autoZero"/>
        <c:auto val="0"/>
        <c:lblAlgn val="ctr"/>
        <c:lblOffset val="100"/>
        <c:noMultiLvlLbl val="1"/>
      </c:catAx>
      <c:valAx>
        <c:axId val="214571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41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659544"/>
        <c:axId val="21456531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659544"/>
        <c:axId val="2145653144"/>
      </c:lineChart>
      <c:catAx>
        <c:axId val="2145659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653144"/>
        <c:crosses val="autoZero"/>
        <c:auto val="1"/>
        <c:lblAlgn val="ctr"/>
        <c:lblOffset val="100"/>
        <c:noMultiLvlLbl val="1"/>
      </c:catAx>
      <c:valAx>
        <c:axId val="214565314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65954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598696"/>
        <c:axId val="214559229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598696"/>
        <c:axId val="2145592296"/>
      </c:lineChart>
      <c:catAx>
        <c:axId val="2145598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592296"/>
        <c:crosses val="autoZero"/>
        <c:auto val="1"/>
        <c:lblAlgn val="ctr"/>
        <c:lblOffset val="100"/>
        <c:noMultiLvlLbl val="1"/>
      </c:catAx>
      <c:valAx>
        <c:axId val="21455922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59869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537544"/>
        <c:axId val="21455311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537544"/>
        <c:axId val="2145531144"/>
      </c:lineChart>
      <c:catAx>
        <c:axId val="2145537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531144"/>
        <c:crosses val="autoZero"/>
        <c:auto val="1"/>
        <c:lblAlgn val="ctr"/>
        <c:lblOffset val="100"/>
        <c:noMultiLvlLbl val="1"/>
      </c:catAx>
      <c:valAx>
        <c:axId val="214553114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53754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476872"/>
        <c:axId val="21454704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476872"/>
        <c:axId val="2145470472"/>
      </c:lineChart>
      <c:catAx>
        <c:axId val="214547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470472"/>
        <c:crosses val="autoZero"/>
        <c:auto val="1"/>
        <c:lblAlgn val="ctr"/>
        <c:lblOffset val="100"/>
        <c:noMultiLvlLbl val="1"/>
      </c:catAx>
      <c:valAx>
        <c:axId val="21454704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47687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395464"/>
        <c:axId val="214538906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395464"/>
        <c:axId val="2145389064"/>
      </c:lineChart>
      <c:catAx>
        <c:axId val="2145395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389064"/>
        <c:crosses val="autoZero"/>
        <c:auto val="0"/>
        <c:lblAlgn val="ctr"/>
        <c:lblOffset val="100"/>
        <c:noMultiLvlLbl val="1"/>
      </c:catAx>
      <c:valAx>
        <c:axId val="214538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39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874840"/>
        <c:axId val="214388122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874840"/>
        <c:axId val="2143881224"/>
      </c:lineChart>
      <c:catAx>
        <c:axId val="2143874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881224"/>
        <c:crosses val="autoZero"/>
        <c:auto val="1"/>
        <c:lblAlgn val="ctr"/>
        <c:lblOffset val="100"/>
        <c:noMultiLvlLbl val="1"/>
      </c:catAx>
      <c:valAx>
        <c:axId val="214388122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8748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935672"/>
        <c:axId val="214394205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935672"/>
        <c:axId val="2143942056"/>
      </c:lineChart>
      <c:catAx>
        <c:axId val="2143935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42056"/>
        <c:crosses val="autoZero"/>
        <c:auto val="1"/>
        <c:lblAlgn val="ctr"/>
        <c:lblOffset val="100"/>
        <c:noMultiLvlLbl val="1"/>
      </c:catAx>
      <c:valAx>
        <c:axId val="214394205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3567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996696"/>
        <c:axId val="214400308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996696"/>
        <c:axId val="2144003080"/>
      </c:lineChart>
      <c:catAx>
        <c:axId val="2143996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03080"/>
        <c:crosses val="autoZero"/>
        <c:auto val="1"/>
        <c:lblAlgn val="ctr"/>
        <c:lblOffset val="100"/>
        <c:noMultiLvlLbl val="1"/>
      </c:catAx>
      <c:valAx>
        <c:axId val="214400308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9669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4057800"/>
        <c:axId val="214406418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057800"/>
        <c:axId val="2144064184"/>
      </c:lineChart>
      <c:catAx>
        <c:axId val="2144057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64184"/>
        <c:crosses val="autoZero"/>
        <c:auto val="1"/>
        <c:lblAlgn val="ctr"/>
        <c:lblOffset val="100"/>
        <c:noMultiLvlLbl val="1"/>
      </c:catAx>
      <c:valAx>
        <c:axId val="21440641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578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4144376"/>
        <c:axId val="2144150760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144376"/>
        <c:axId val="2144150760"/>
      </c:lineChart>
      <c:catAx>
        <c:axId val="2144144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150760"/>
        <c:crosses val="autoZero"/>
        <c:auto val="0"/>
        <c:lblAlgn val="ctr"/>
        <c:lblOffset val="100"/>
        <c:noMultiLvlLbl val="1"/>
      </c:catAx>
      <c:valAx>
        <c:axId val="214415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14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4208792"/>
        <c:axId val="214421517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208792"/>
        <c:axId val="2144215176"/>
      </c:lineChart>
      <c:catAx>
        <c:axId val="2144208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215176"/>
        <c:crosses val="autoZero"/>
        <c:auto val="1"/>
        <c:lblAlgn val="ctr"/>
        <c:lblOffset val="100"/>
        <c:noMultiLvlLbl val="1"/>
      </c:catAx>
      <c:valAx>
        <c:axId val="214421517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2087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4269432"/>
        <c:axId val="214427581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269432"/>
        <c:axId val="2144275816"/>
      </c:lineChart>
      <c:catAx>
        <c:axId val="2144269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275816"/>
        <c:crosses val="autoZero"/>
        <c:auto val="1"/>
        <c:lblAlgn val="ctr"/>
        <c:lblOffset val="100"/>
        <c:noMultiLvlLbl val="1"/>
      </c:catAx>
      <c:valAx>
        <c:axId val="214427581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26943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4244456"/>
        <c:axId val="21442418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244456"/>
        <c:axId val="2144241896"/>
      </c:lineChart>
      <c:catAx>
        <c:axId val="2144244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241896"/>
        <c:crosses val="autoZero"/>
        <c:auto val="1"/>
        <c:lblAlgn val="ctr"/>
        <c:lblOffset val="100"/>
        <c:noMultiLvlLbl val="1"/>
      </c:catAx>
      <c:valAx>
        <c:axId val="21442418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2444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582296"/>
        <c:axId val="21435758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582296"/>
        <c:axId val="2143575896"/>
      </c:lineChart>
      <c:catAx>
        <c:axId val="2143582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575896"/>
        <c:crosses val="autoZero"/>
        <c:auto val="1"/>
        <c:lblAlgn val="ctr"/>
        <c:lblOffset val="100"/>
        <c:noMultiLvlLbl val="1"/>
      </c:catAx>
      <c:valAx>
        <c:axId val="214357589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58229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501000"/>
        <c:axId val="2143494600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501000"/>
        <c:axId val="2143494600"/>
      </c:lineChart>
      <c:catAx>
        <c:axId val="214350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494600"/>
        <c:crosses val="autoZero"/>
        <c:auto val="0"/>
        <c:lblAlgn val="ctr"/>
        <c:lblOffset val="100"/>
        <c:noMultiLvlLbl val="1"/>
      </c:catAx>
      <c:valAx>
        <c:axId val="214349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50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436584"/>
        <c:axId val="214343018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436584"/>
        <c:axId val="2143430184"/>
      </c:lineChart>
      <c:catAx>
        <c:axId val="2143436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430184"/>
        <c:crosses val="autoZero"/>
        <c:auto val="1"/>
        <c:lblAlgn val="ctr"/>
        <c:lblOffset val="100"/>
        <c:noMultiLvlLbl val="1"/>
      </c:catAx>
      <c:valAx>
        <c:axId val="21434301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4365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375944"/>
        <c:axId val="21433695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375944"/>
        <c:axId val="2143369544"/>
      </c:lineChart>
      <c:catAx>
        <c:axId val="2143375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369544"/>
        <c:crosses val="autoZero"/>
        <c:auto val="1"/>
        <c:lblAlgn val="ctr"/>
        <c:lblOffset val="100"/>
        <c:noMultiLvlLbl val="1"/>
      </c:catAx>
      <c:valAx>
        <c:axId val="214336954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37594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3314920"/>
        <c:axId val="21433085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314920"/>
        <c:axId val="2143308520"/>
      </c:lineChart>
      <c:catAx>
        <c:axId val="2143314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308520"/>
        <c:crosses val="autoZero"/>
        <c:auto val="1"/>
        <c:lblAlgn val="ctr"/>
        <c:lblOffset val="100"/>
        <c:noMultiLvlLbl val="1"/>
      </c:catAx>
      <c:valAx>
        <c:axId val="21433085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31492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826024"/>
        <c:axId val="213683240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826024"/>
        <c:axId val="2136832408"/>
      </c:lineChart>
      <c:catAx>
        <c:axId val="2136826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832408"/>
        <c:crosses val="autoZero"/>
        <c:auto val="1"/>
        <c:lblAlgn val="ctr"/>
        <c:lblOffset val="100"/>
        <c:noMultiLvlLbl val="1"/>
      </c:catAx>
      <c:valAx>
        <c:axId val="213683240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82602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715496"/>
        <c:axId val="2136708936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715496"/>
        <c:axId val="2136708936"/>
      </c:lineChart>
      <c:catAx>
        <c:axId val="213671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708936"/>
        <c:crosses val="autoZero"/>
        <c:auto val="0"/>
        <c:lblAlgn val="ctr"/>
        <c:lblOffset val="100"/>
        <c:noMultiLvlLbl val="1"/>
      </c:catAx>
      <c:valAx>
        <c:axId val="213670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71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8587000"/>
        <c:axId val="213844903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587000"/>
        <c:axId val="2138449032"/>
      </c:lineChart>
      <c:catAx>
        <c:axId val="2138587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49032"/>
        <c:crosses val="autoZero"/>
        <c:auto val="1"/>
        <c:lblAlgn val="ctr"/>
        <c:lblOffset val="100"/>
        <c:noMultiLvlLbl val="1"/>
      </c:catAx>
      <c:valAx>
        <c:axId val="21384490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58700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630888"/>
        <c:axId val="213662199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630888"/>
        <c:axId val="2136621992"/>
      </c:lineChart>
      <c:catAx>
        <c:axId val="2136630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621992"/>
        <c:crosses val="autoZero"/>
        <c:auto val="1"/>
        <c:lblAlgn val="ctr"/>
        <c:lblOffset val="100"/>
        <c:noMultiLvlLbl val="1"/>
      </c:catAx>
      <c:valAx>
        <c:axId val="213662199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6308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8739688"/>
        <c:axId val="20587460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739688"/>
        <c:axId val="2058746072"/>
      </c:lineChart>
      <c:catAx>
        <c:axId val="2058739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746072"/>
        <c:crosses val="autoZero"/>
        <c:auto val="1"/>
        <c:lblAlgn val="ctr"/>
        <c:lblOffset val="100"/>
        <c:noMultiLvlLbl val="1"/>
      </c:catAx>
      <c:valAx>
        <c:axId val="20587460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7396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8494056"/>
        <c:axId val="213845533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494056"/>
        <c:axId val="2138455336"/>
      </c:lineChart>
      <c:catAx>
        <c:axId val="2138494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55336"/>
        <c:crosses val="autoZero"/>
        <c:auto val="1"/>
        <c:lblAlgn val="ctr"/>
        <c:lblOffset val="100"/>
        <c:noMultiLvlLbl val="1"/>
      </c:catAx>
      <c:valAx>
        <c:axId val="213845533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9405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961944"/>
        <c:axId val="2146968328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61944"/>
        <c:axId val="2146968328"/>
      </c:lineChart>
      <c:catAx>
        <c:axId val="2146961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68328"/>
        <c:crosses val="autoZero"/>
        <c:auto val="0"/>
        <c:lblAlgn val="ctr"/>
        <c:lblOffset val="100"/>
        <c:noMultiLvlLbl val="1"/>
      </c:catAx>
      <c:valAx>
        <c:axId val="214696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61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7026360"/>
        <c:axId val="21470327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026360"/>
        <c:axId val="2147032744"/>
      </c:lineChart>
      <c:catAx>
        <c:axId val="2147026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032744"/>
        <c:crosses val="autoZero"/>
        <c:auto val="1"/>
        <c:lblAlgn val="ctr"/>
        <c:lblOffset val="100"/>
        <c:noMultiLvlLbl val="1"/>
      </c:catAx>
      <c:valAx>
        <c:axId val="214703274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02636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915688"/>
        <c:axId val="214692207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15688"/>
        <c:axId val="2146922072"/>
      </c:lineChart>
      <c:catAx>
        <c:axId val="2146915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22072"/>
        <c:crosses val="autoZero"/>
        <c:auto val="1"/>
        <c:lblAlgn val="ctr"/>
        <c:lblOffset val="100"/>
        <c:noMultiLvlLbl val="1"/>
      </c:catAx>
      <c:valAx>
        <c:axId val="214692207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9156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7122616"/>
        <c:axId val="214708892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122616"/>
        <c:axId val="2147088920"/>
      </c:lineChart>
      <c:catAx>
        <c:axId val="2147122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088920"/>
        <c:crosses val="autoZero"/>
        <c:auto val="1"/>
        <c:lblAlgn val="ctr"/>
        <c:lblOffset val="100"/>
        <c:noMultiLvlLbl val="1"/>
      </c:catAx>
      <c:valAx>
        <c:axId val="214708892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122616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831992"/>
        <c:axId val="214683837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831992"/>
        <c:axId val="2146838376"/>
      </c:lineChart>
      <c:catAx>
        <c:axId val="2146831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838376"/>
        <c:crosses val="autoZero"/>
        <c:auto val="1"/>
        <c:lblAlgn val="ctr"/>
        <c:lblOffset val="100"/>
        <c:noMultiLvlLbl val="1"/>
      </c:catAx>
      <c:valAx>
        <c:axId val="2146838376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83199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206360"/>
        <c:axId val="2145212616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206360"/>
        <c:axId val="2145212616"/>
      </c:lineChart>
      <c:catAx>
        <c:axId val="2145206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212616"/>
        <c:crosses val="autoZero"/>
        <c:auto val="0"/>
        <c:lblAlgn val="ctr"/>
        <c:lblOffset val="100"/>
        <c:noMultiLvlLbl val="1"/>
      </c:catAx>
      <c:valAx>
        <c:axId val="214521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206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5021464"/>
        <c:axId val="214498999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21464"/>
        <c:axId val="2144989992"/>
      </c:lineChart>
      <c:catAx>
        <c:axId val="2145021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989992"/>
        <c:crosses val="autoZero"/>
        <c:auto val="1"/>
        <c:lblAlgn val="ctr"/>
        <c:lblOffset val="100"/>
        <c:noMultiLvlLbl val="1"/>
      </c:catAx>
      <c:valAx>
        <c:axId val="214498999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02146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4476824"/>
        <c:axId val="214448320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476824"/>
        <c:axId val="2144483208"/>
      </c:lineChart>
      <c:catAx>
        <c:axId val="2144476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483208"/>
        <c:crosses val="autoZero"/>
        <c:auto val="1"/>
        <c:lblAlgn val="ctr"/>
        <c:lblOffset val="100"/>
        <c:noMultiLvlLbl val="1"/>
      </c:catAx>
      <c:valAx>
        <c:axId val="214448320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47682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7339304"/>
        <c:axId val="214734568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339304"/>
        <c:axId val="2147345688"/>
      </c:lineChart>
      <c:catAx>
        <c:axId val="2147339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45688"/>
        <c:crosses val="autoZero"/>
        <c:auto val="1"/>
        <c:lblAlgn val="ctr"/>
        <c:lblOffset val="100"/>
        <c:noMultiLvlLbl val="1"/>
      </c:catAx>
      <c:valAx>
        <c:axId val="214734568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3930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7399848"/>
        <c:axId val="214740623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7399848"/>
        <c:axId val="2147406232"/>
      </c:lineChart>
      <c:catAx>
        <c:axId val="2147399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406232"/>
        <c:crosses val="autoZero"/>
        <c:auto val="1"/>
        <c:lblAlgn val="ctr"/>
        <c:lblOffset val="100"/>
        <c:noMultiLvlLbl val="1"/>
      </c:catAx>
      <c:valAx>
        <c:axId val="214740623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9984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"/>
          <c:y val="0.033701942804220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751656"/>
        <c:axId val="2146745256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751656"/>
        <c:axId val="2146745256"/>
      </c:lineChart>
      <c:catAx>
        <c:axId val="2146751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745256"/>
        <c:crosses val="autoZero"/>
        <c:auto val="0"/>
        <c:lblAlgn val="ctr"/>
        <c:lblOffset val="100"/>
        <c:noMultiLvlLbl val="1"/>
      </c:catAx>
      <c:valAx>
        <c:axId val="21467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75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687240"/>
        <c:axId val="214668084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687240"/>
        <c:axId val="2146680840"/>
      </c:lineChart>
      <c:catAx>
        <c:axId val="2146687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680840"/>
        <c:crosses val="autoZero"/>
        <c:auto val="1"/>
        <c:lblAlgn val="ctr"/>
        <c:lblOffset val="100"/>
        <c:noMultiLvlLbl val="1"/>
      </c:catAx>
      <c:valAx>
        <c:axId val="2146680840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687240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626312"/>
        <c:axId val="214661991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626312"/>
        <c:axId val="2146619912"/>
      </c:lineChart>
      <c:catAx>
        <c:axId val="2146626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619912"/>
        <c:crosses val="autoZero"/>
        <c:auto val="1"/>
        <c:lblAlgn val="ctr"/>
        <c:lblOffset val="100"/>
        <c:noMultiLvlLbl val="1"/>
      </c:catAx>
      <c:valAx>
        <c:axId val="2146619912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626312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565288"/>
        <c:axId val="214655888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565288"/>
        <c:axId val="2146558888"/>
      </c:lineChart>
      <c:catAx>
        <c:axId val="2146565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558888"/>
        <c:crosses val="autoZero"/>
        <c:auto val="1"/>
        <c:lblAlgn val="ctr"/>
        <c:lblOffset val="100"/>
        <c:noMultiLvlLbl val="1"/>
      </c:catAx>
      <c:valAx>
        <c:axId val="2146558888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565288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"/>
          <c:y val="0.023148148148148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42275.0</c:v>
                </c:pt>
                <c:pt idx="1">
                  <c:v>42276.0</c:v>
                </c:pt>
                <c:pt idx="2">
                  <c:v>42277.0</c:v>
                </c:pt>
                <c:pt idx="3">
                  <c:v>42278.0</c:v>
                </c:pt>
                <c:pt idx="4">
                  <c:v>42279.0</c:v>
                </c:pt>
                <c:pt idx="5">
                  <c:v>42280.0</c:v>
                </c:pt>
                <c:pt idx="6">
                  <c:v>42281.0</c:v>
                </c:pt>
                <c:pt idx="7">
                  <c:v>42282.0</c:v>
                </c:pt>
                <c:pt idx="8">
                  <c:v>42283.0</c:v>
                </c:pt>
                <c:pt idx="9">
                  <c:v>42284.0</c:v>
                </c:pt>
                <c:pt idx="10">
                  <c:v>42285.0</c:v>
                </c:pt>
                <c:pt idx="11">
                  <c:v>42286.0</c:v>
                </c:pt>
                <c:pt idx="12">
                  <c:v>42287.0</c:v>
                </c:pt>
                <c:pt idx="13">
                  <c:v>42288.0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6504184"/>
        <c:axId val="214649778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504184"/>
        <c:axId val="2146497784"/>
      </c:lineChart>
      <c:catAx>
        <c:axId val="2146504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497784"/>
        <c:crosses val="autoZero"/>
        <c:auto val="1"/>
        <c:lblAlgn val="ctr"/>
        <c:lblOffset val="100"/>
        <c:noMultiLvlLbl val="1"/>
      </c:catAx>
      <c:valAx>
        <c:axId val="2146497784"/>
        <c:scaling>
          <c:orientation val="minMax"/>
          <c:max val="2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504184"/>
        <c:crosses val="autoZero"/>
        <c:crossBetween val="between"/>
        <c:majorUnit val="5.0"/>
        <c:minorUnit val="1.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4" Type="http://schemas.openxmlformats.org/officeDocument/2006/relationships/chart" Target="../charts/chart24.xml"/><Relationship Id="rId5" Type="http://schemas.openxmlformats.org/officeDocument/2006/relationships/chart" Target="../charts/chart25.xml"/><Relationship Id="rId1" Type="http://schemas.openxmlformats.org/officeDocument/2006/relationships/chart" Target="../charts/chart21.xml"/><Relationship Id="rId2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4" Type="http://schemas.openxmlformats.org/officeDocument/2006/relationships/chart" Target="../charts/chart29.xml"/><Relationship Id="rId5" Type="http://schemas.openxmlformats.org/officeDocument/2006/relationships/chart" Target="../charts/chart30.xml"/><Relationship Id="rId1" Type="http://schemas.openxmlformats.org/officeDocument/2006/relationships/chart" Target="../charts/chart26.xml"/><Relationship Id="rId2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4" Type="http://schemas.openxmlformats.org/officeDocument/2006/relationships/chart" Target="../charts/chart34.xml"/><Relationship Id="rId5" Type="http://schemas.openxmlformats.org/officeDocument/2006/relationships/chart" Target="../charts/chart35.xml"/><Relationship Id="rId1" Type="http://schemas.openxmlformats.org/officeDocument/2006/relationships/chart" Target="../charts/chart31.xml"/><Relationship Id="rId2" Type="http://schemas.openxmlformats.org/officeDocument/2006/relationships/chart" Target="../charts/chart32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4" Type="http://schemas.openxmlformats.org/officeDocument/2006/relationships/chart" Target="../charts/chart39.xml"/><Relationship Id="rId5" Type="http://schemas.openxmlformats.org/officeDocument/2006/relationships/chart" Target="../charts/chart40.xml"/><Relationship Id="rId1" Type="http://schemas.openxmlformats.org/officeDocument/2006/relationships/chart" Target="../charts/chart36.xml"/><Relationship Id="rId2" Type="http://schemas.openxmlformats.org/officeDocument/2006/relationships/chart" Target="../charts/chart37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<Relationship Id="rId1" Type="http://schemas.openxmlformats.org/officeDocument/2006/relationships/chart" Target="../charts/chart41.xml"/><Relationship Id="rId2" Type="http://schemas.openxmlformats.org/officeDocument/2006/relationships/chart" Target="../charts/chart42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4" Type="http://schemas.openxmlformats.org/officeDocument/2006/relationships/chart" Target="../charts/chart49.xml"/><Relationship Id="rId5" Type="http://schemas.openxmlformats.org/officeDocument/2006/relationships/chart" Target="../charts/chart50.xml"/><Relationship Id="rId1" Type="http://schemas.openxmlformats.org/officeDocument/2006/relationships/chart" Target="../charts/chart46.xml"/><Relationship Id="rId2" Type="http://schemas.openxmlformats.org/officeDocument/2006/relationships/chart" Target="../charts/chart47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<Relationship Id="rId1" Type="http://schemas.openxmlformats.org/officeDocument/2006/relationships/chart" Target="../charts/chart51.xml"/><Relationship Id="rId2" Type="http://schemas.openxmlformats.org/officeDocument/2006/relationships/chart" Target="../charts/chart52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4" Type="http://schemas.openxmlformats.org/officeDocument/2006/relationships/chart" Target="../charts/chart59.xml"/><Relationship Id="rId5" Type="http://schemas.openxmlformats.org/officeDocument/2006/relationships/chart" Target="../charts/chart60.xml"/><Relationship Id="rId1" Type="http://schemas.openxmlformats.org/officeDocument/2006/relationships/chart" Target="../charts/chart56.xml"/><Relationship Id="rId2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#N/A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9"/>
  <sheetViews>
    <sheetView topLeftCell="B1" workbookViewId="0">
      <selection activeCell="N41" sqref="N41"/>
    </sheetView>
  </sheetViews>
  <sheetFormatPr baseColWidth="10" defaultColWidth="8.83203125" defaultRowHeight="14" x14ac:dyDescent="0"/>
  <cols>
    <col min="1" max="1" width="9.1640625" customWidth="1"/>
    <col min="2" max="2" width="15.6640625" customWidth="1"/>
    <col min="3" max="3" width="9.1640625" customWidth="1"/>
  </cols>
  <sheetData>
    <row r="1" spans="1:25" ht="18">
      <c r="C1" s="70" t="s">
        <v>24</v>
      </c>
      <c r="D1" s="71"/>
      <c r="E1" s="71"/>
      <c r="F1" s="71"/>
      <c r="G1" s="71"/>
      <c r="H1" s="71"/>
      <c r="I1" s="71"/>
      <c r="J1" s="71"/>
      <c r="K1" s="71"/>
      <c r="L1" s="71"/>
      <c r="M1" s="71"/>
    </row>
    <row r="2" spans="1:25" s="10" customFormat="1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">
      <c r="B3" s="31" t="s">
        <v>36</v>
      </c>
      <c r="C3" s="78" t="s">
        <v>22</v>
      </c>
      <c r="D3" s="79"/>
      <c r="E3" s="79"/>
      <c r="F3" s="79"/>
      <c r="G3" s="79"/>
      <c r="H3" s="79"/>
      <c r="I3" s="79"/>
      <c r="J3" s="79"/>
      <c r="K3" s="79"/>
      <c r="L3" s="79"/>
      <c r="M3" s="79"/>
      <c r="N3" s="79" t="s">
        <v>23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80"/>
    </row>
    <row r="4" spans="1:25" ht="15">
      <c r="C4" s="75" t="s">
        <v>12</v>
      </c>
      <c r="D4" s="75"/>
      <c r="E4" s="75"/>
      <c r="F4" s="75" t="s">
        <v>11</v>
      </c>
      <c r="G4" s="75"/>
      <c r="H4" s="75" t="s">
        <v>13</v>
      </c>
      <c r="I4" s="75"/>
      <c r="J4" s="75" t="s">
        <v>14</v>
      </c>
      <c r="K4" s="75"/>
      <c r="L4" s="72" t="s">
        <v>15</v>
      </c>
      <c r="M4" s="73"/>
      <c r="N4" s="73" t="s">
        <v>16</v>
      </c>
      <c r="O4" s="74"/>
      <c r="P4" s="75" t="s">
        <v>17</v>
      </c>
      <c r="Q4" s="75"/>
      <c r="R4" s="75" t="s">
        <v>18</v>
      </c>
      <c r="S4" s="75"/>
      <c r="T4" s="75" t="s">
        <v>19</v>
      </c>
      <c r="U4" s="75"/>
      <c r="V4" s="75" t="s">
        <v>20</v>
      </c>
      <c r="W4" s="75"/>
      <c r="X4" s="75" t="s">
        <v>21</v>
      </c>
      <c r="Y4" s="75"/>
    </row>
    <row r="5" spans="1:25" s="6" customFormat="1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>
      <c r="A7" s="76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0</v>
      </c>
      <c r="I7" s="25">
        <f>SUM('Sprint 2'!J6:P6)</f>
        <v>0</v>
      </c>
      <c r="J7" s="25">
        <f>SUM('Sprint 3'!C6:I6)</f>
        <v>0</v>
      </c>
      <c r="K7" s="25">
        <f>SUM('Sprint 3'!J6:P6)</f>
        <v>0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>
      <c r="A8" s="76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'Sprint 1'!C26</f>
        <v>0</v>
      </c>
      <c r="G8" s="25">
        <f>SUM('Sprint 1'!J7:P7)</f>
        <v>1.5</v>
      </c>
      <c r="H8" s="25">
        <f>SUM('Sprint 2'!C7:I7)</f>
        <v>0</v>
      </c>
      <c r="I8" s="25">
        <f>SUM('Sprint 2'!J7:P7)</f>
        <v>0</v>
      </c>
      <c r="J8" s="25">
        <f>SUM('Sprint 3'!C7:I7)</f>
        <v>0</v>
      </c>
      <c r="K8" s="25">
        <f>SUM('Sprint 3'!J7:P7)</f>
        <v>0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>
      <c r="A9" s="76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'Sprint 1'!C27</f>
        <v>0</v>
      </c>
      <c r="G9" s="25">
        <f>SUM('Sprint 1'!J8:P8)</f>
        <v>1</v>
      </c>
      <c r="H9" s="25">
        <f>SUM('Sprint 2'!C8:I8)</f>
        <v>0</v>
      </c>
      <c r="I9" s="25">
        <f>SUM('Sprint 2'!J8:P8)</f>
        <v>0</v>
      </c>
      <c r="J9" s="25">
        <f>SUM('Sprint 3'!C8:I8)</f>
        <v>0</v>
      </c>
      <c r="K9" s="25">
        <f>SUM('Sprint 3'!J8:P8)</f>
        <v>0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>
      <c r="A10" s="76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'Sprint 1'!C28</f>
        <v>4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">
      <c r="A11" s="76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5</v>
      </c>
      <c r="G11" s="21">
        <f t="shared" si="2"/>
        <v>7.5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>
      <c r="A12" s="6"/>
      <c r="M12" s="49"/>
      <c r="N12" s="50"/>
    </row>
    <row r="13" spans="1:25">
      <c r="A13" s="76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>
      <c r="A14" s="76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>
      <c r="A15" s="76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>
      <c r="A16" s="76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">
      <c r="A17" s="76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>
      <c r="M18" s="49"/>
      <c r="N18" s="50"/>
    </row>
    <row r="19" spans="1:25">
      <c r="A19" s="77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D14</f>
        <v>11.5</v>
      </c>
      <c r="E19" s="25">
        <f t="shared" ref="E19:Y22" si="25" xml:space="preserve"> D19 + E7 + E14</f>
        <v>17.399999999999999</v>
      </c>
      <c r="F19" s="25">
        <f t="shared" si="25"/>
        <v>24.15</v>
      </c>
      <c r="G19" s="25">
        <f t="shared" si="25"/>
        <v>30.65</v>
      </c>
      <c r="H19" s="25">
        <f t="shared" si="25"/>
        <v>30.65</v>
      </c>
      <c r="I19" s="25">
        <f t="shared" si="25"/>
        <v>30.65</v>
      </c>
      <c r="J19" s="25">
        <f t="shared" si="25"/>
        <v>30.65</v>
      </c>
      <c r="K19" s="25">
        <f t="shared" si="25"/>
        <v>30.65</v>
      </c>
      <c r="L19" s="25">
        <f t="shared" si="25"/>
        <v>30.65</v>
      </c>
      <c r="M19" s="45">
        <f t="shared" si="25"/>
        <v>30.65</v>
      </c>
      <c r="N19" s="46">
        <f t="shared" si="25"/>
        <v>30.65</v>
      </c>
      <c r="O19" s="25">
        <f t="shared" si="25"/>
        <v>30.65</v>
      </c>
      <c r="P19" s="25">
        <f t="shared" si="25"/>
        <v>30.65</v>
      </c>
      <c r="Q19" s="25">
        <f t="shared" si="25"/>
        <v>30.65</v>
      </c>
      <c r="R19" s="25">
        <f t="shared" si="25"/>
        <v>30.65</v>
      </c>
      <c r="S19" s="25">
        <f t="shared" si="25"/>
        <v>30.65</v>
      </c>
      <c r="T19" s="25">
        <f t="shared" si="25"/>
        <v>30.65</v>
      </c>
      <c r="U19" s="25">
        <f t="shared" si="25"/>
        <v>30.65</v>
      </c>
      <c r="V19" s="25">
        <f t="shared" si="25"/>
        <v>30.65</v>
      </c>
      <c r="W19" s="25">
        <f t="shared" si="25"/>
        <v>30.65</v>
      </c>
      <c r="X19" s="25">
        <f t="shared" si="25"/>
        <v>30.65</v>
      </c>
      <c r="Y19" s="25">
        <f t="shared" si="25"/>
        <v>30.65</v>
      </c>
    </row>
    <row r="20" spans="1:25">
      <c r="A20" s="77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9.41</v>
      </c>
      <c r="G20" s="25">
        <f t="shared" si="27"/>
        <v>11.41</v>
      </c>
      <c r="H20" s="25">
        <f t="shared" si="27"/>
        <v>11.41</v>
      </c>
      <c r="I20" s="25">
        <f t="shared" si="27"/>
        <v>11.41</v>
      </c>
      <c r="J20" s="25">
        <f t="shared" si="27"/>
        <v>11.41</v>
      </c>
      <c r="K20" s="25">
        <f t="shared" si="27"/>
        <v>11.41</v>
      </c>
      <c r="L20" s="25">
        <f t="shared" si="27"/>
        <v>11.41</v>
      </c>
      <c r="M20" s="45">
        <f t="shared" si="27"/>
        <v>11.41</v>
      </c>
      <c r="N20" s="46">
        <f t="shared" si="27"/>
        <v>11.41</v>
      </c>
      <c r="O20" s="25">
        <f t="shared" si="27"/>
        <v>11.41</v>
      </c>
      <c r="P20" s="25">
        <f t="shared" si="27"/>
        <v>11.41</v>
      </c>
      <c r="Q20" s="25">
        <f t="shared" si="27"/>
        <v>11.41</v>
      </c>
      <c r="R20" s="25">
        <f t="shared" si="27"/>
        <v>11.41</v>
      </c>
      <c r="S20" s="25">
        <f t="shared" si="27"/>
        <v>11.41</v>
      </c>
      <c r="T20" s="25">
        <f t="shared" si="25"/>
        <v>11.41</v>
      </c>
      <c r="U20" s="25">
        <f t="shared" si="25"/>
        <v>11.41</v>
      </c>
      <c r="V20" s="25">
        <f t="shared" si="25"/>
        <v>11.41</v>
      </c>
      <c r="W20" s="25">
        <f t="shared" si="25"/>
        <v>11.41</v>
      </c>
      <c r="X20" s="25">
        <f t="shared" si="25"/>
        <v>11.41</v>
      </c>
      <c r="Y20" s="25">
        <f t="shared" si="25"/>
        <v>11.41</v>
      </c>
    </row>
    <row r="21" spans="1:25">
      <c r="A21" s="77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8</v>
      </c>
      <c r="G21" s="25">
        <f t="shared" si="25"/>
        <v>9</v>
      </c>
      <c r="H21" s="25">
        <f t="shared" si="25"/>
        <v>9</v>
      </c>
      <c r="I21" s="25">
        <f t="shared" si="25"/>
        <v>9</v>
      </c>
      <c r="J21" s="25">
        <f t="shared" si="25"/>
        <v>9</v>
      </c>
      <c r="K21" s="25">
        <f t="shared" si="25"/>
        <v>9</v>
      </c>
      <c r="L21" s="25">
        <f t="shared" si="25"/>
        <v>9</v>
      </c>
      <c r="M21" s="45">
        <f t="shared" si="25"/>
        <v>9</v>
      </c>
      <c r="N21" s="46">
        <f t="shared" si="25"/>
        <v>9</v>
      </c>
      <c r="O21" s="25">
        <f t="shared" si="25"/>
        <v>9</v>
      </c>
      <c r="P21" s="25">
        <f t="shared" si="25"/>
        <v>9</v>
      </c>
      <c r="Q21" s="25">
        <f t="shared" si="25"/>
        <v>9</v>
      </c>
      <c r="R21" s="25">
        <f t="shared" si="25"/>
        <v>9</v>
      </c>
      <c r="S21" s="25">
        <f t="shared" si="25"/>
        <v>9</v>
      </c>
      <c r="T21" s="25">
        <f t="shared" si="25"/>
        <v>9</v>
      </c>
      <c r="U21" s="25">
        <f t="shared" si="25"/>
        <v>9</v>
      </c>
      <c r="V21" s="25">
        <f t="shared" si="25"/>
        <v>9</v>
      </c>
      <c r="W21" s="25">
        <f t="shared" si="25"/>
        <v>9</v>
      </c>
      <c r="X21" s="25">
        <f t="shared" si="25"/>
        <v>9</v>
      </c>
      <c r="Y21" s="25">
        <f t="shared" si="25"/>
        <v>9</v>
      </c>
    </row>
    <row r="22" spans="1:25">
      <c r="A22" s="77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13.75</v>
      </c>
      <c r="E22" s="25">
        <f t="shared" si="25"/>
        <v>26.15</v>
      </c>
      <c r="F22" s="25">
        <f t="shared" si="25"/>
        <v>36.4</v>
      </c>
      <c r="G22" s="25">
        <f t="shared" si="25"/>
        <v>39.4</v>
      </c>
      <c r="H22" s="25">
        <f t="shared" si="25"/>
        <v>39.4</v>
      </c>
      <c r="I22" s="25">
        <f t="shared" si="25"/>
        <v>39.4</v>
      </c>
      <c r="J22" s="25">
        <f t="shared" si="25"/>
        <v>39.4</v>
      </c>
      <c r="K22" s="25">
        <f t="shared" si="25"/>
        <v>39.4</v>
      </c>
      <c r="L22" s="25">
        <f t="shared" si="25"/>
        <v>39.4</v>
      </c>
      <c r="M22" s="45">
        <f t="shared" si="25"/>
        <v>39.4</v>
      </c>
      <c r="N22" s="46">
        <f t="shared" si="25"/>
        <v>39.4</v>
      </c>
      <c r="O22" s="25">
        <f t="shared" si="25"/>
        <v>39.4</v>
      </c>
      <c r="P22" s="25">
        <f t="shared" si="25"/>
        <v>39.4</v>
      </c>
      <c r="Q22" s="25">
        <f t="shared" si="25"/>
        <v>39.4</v>
      </c>
      <c r="R22" s="25">
        <f t="shared" si="25"/>
        <v>39.4</v>
      </c>
      <c r="S22" s="25">
        <f t="shared" si="25"/>
        <v>39.4</v>
      </c>
      <c r="T22" s="25">
        <f t="shared" si="25"/>
        <v>39.4</v>
      </c>
      <c r="U22" s="25">
        <f t="shared" si="25"/>
        <v>39.4</v>
      </c>
      <c r="V22" s="25">
        <f t="shared" si="25"/>
        <v>39.4</v>
      </c>
      <c r="W22" s="25">
        <f t="shared" si="25"/>
        <v>39.4</v>
      </c>
      <c r="X22" s="25">
        <f t="shared" si="25"/>
        <v>39.4</v>
      </c>
      <c r="Y22" s="25">
        <f t="shared" si="25"/>
        <v>39.4</v>
      </c>
    </row>
    <row r="23" spans="1:25" ht="15">
      <c r="A23" s="77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28" xml:space="preserve"> D23 + E11 + E17</f>
        <v>41.81</v>
      </c>
      <c r="F23" s="21">
        <f t="shared" si="28"/>
        <v>53.06</v>
      </c>
      <c r="G23" s="21">
        <f t="shared" si="28"/>
        <v>63.56</v>
      </c>
      <c r="H23" s="21">
        <f t="shared" si="28"/>
        <v>63.56</v>
      </c>
      <c r="I23" s="21">
        <f t="shared" si="28"/>
        <v>63.56</v>
      </c>
      <c r="J23" s="21">
        <f t="shared" si="28"/>
        <v>63.56</v>
      </c>
      <c r="K23" s="21">
        <f t="shared" si="28"/>
        <v>63.56</v>
      </c>
      <c r="L23" s="21">
        <f t="shared" si="28"/>
        <v>63.56</v>
      </c>
      <c r="M23" s="47">
        <f t="shared" si="28"/>
        <v>63.56</v>
      </c>
      <c r="N23" s="48">
        <f t="shared" si="28"/>
        <v>63.56</v>
      </c>
      <c r="O23" s="21">
        <f t="shared" si="28"/>
        <v>63.56</v>
      </c>
      <c r="P23" s="21">
        <f t="shared" si="28"/>
        <v>63.56</v>
      </c>
      <c r="Q23" s="21">
        <f t="shared" si="28"/>
        <v>63.56</v>
      </c>
      <c r="R23" s="21">
        <f t="shared" si="28"/>
        <v>63.56</v>
      </c>
      <c r="S23" s="21">
        <f t="shared" si="28"/>
        <v>63.56</v>
      </c>
      <c r="T23" s="21">
        <f t="shared" si="28"/>
        <v>63.56</v>
      </c>
      <c r="U23" s="21">
        <f t="shared" si="28"/>
        <v>63.56</v>
      </c>
      <c r="V23" s="21">
        <f t="shared" si="28"/>
        <v>63.56</v>
      </c>
      <c r="W23" s="21">
        <f t="shared" si="28"/>
        <v>63.56</v>
      </c>
      <c r="X23" s="21">
        <f t="shared" si="28"/>
        <v>63.56</v>
      </c>
      <c r="Y23" s="21">
        <f t="shared" si="28"/>
        <v>63.56</v>
      </c>
    </row>
    <row r="24" spans="1:25" ht="15">
      <c r="A24" s="19"/>
      <c r="B24" s="20"/>
      <c r="M24" s="49"/>
      <c r="N24" s="50"/>
    </row>
    <row r="25" spans="1:25">
      <c r="A25" s="77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29" xml:space="preserve"> D19 / D$6</f>
        <v>5.75</v>
      </c>
      <c r="E25" s="29">
        <f t="shared" si="29"/>
        <v>5.8</v>
      </c>
      <c r="F25" s="29">
        <f t="shared" ref="F25:Y25" si="30" xml:space="preserve"> F19 / F$6</f>
        <v>6.0374999999999996</v>
      </c>
      <c r="G25" s="29">
        <f t="shared" si="30"/>
        <v>6.13</v>
      </c>
      <c r="H25" s="29">
        <f t="shared" si="30"/>
        <v>5.1083333333333334</v>
      </c>
      <c r="I25" s="29">
        <f t="shared" si="30"/>
        <v>4.3785714285714281</v>
      </c>
      <c r="J25" s="29">
        <f t="shared" si="30"/>
        <v>3.8312499999999998</v>
      </c>
      <c r="K25" s="29">
        <f t="shared" si="30"/>
        <v>3.4055555555555554</v>
      </c>
      <c r="L25" s="29">
        <f t="shared" si="30"/>
        <v>3.0649999999999999</v>
      </c>
      <c r="M25" s="51">
        <f t="shared" si="30"/>
        <v>2.7863636363636362</v>
      </c>
      <c r="N25" s="52">
        <f t="shared" si="30"/>
        <v>2.5541666666666667</v>
      </c>
      <c r="O25" s="29">
        <f t="shared" si="30"/>
        <v>2.3576923076923078</v>
      </c>
      <c r="P25" s="29">
        <f t="shared" si="30"/>
        <v>2.1892857142857141</v>
      </c>
      <c r="Q25" s="29">
        <f t="shared" si="30"/>
        <v>2.0433333333333334</v>
      </c>
      <c r="R25" s="29">
        <f t="shared" si="30"/>
        <v>1.9156249999999999</v>
      </c>
      <c r="S25" s="29">
        <f t="shared" si="30"/>
        <v>1.802941176470588</v>
      </c>
      <c r="T25" s="29">
        <f t="shared" si="30"/>
        <v>1.7027777777777777</v>
      </c>
      <c r="U25" s="29">
        <f t="shared" si="30"/>
        <v>1.6131578947368421</v>
      </c>
      <c r="V25" s="29">
        <f t="shared" si="30"/>
        <v>1.5325</v>
      </c>
      <c r="W25" s="29">
        <f t="shared" si="30"/>
        <v>1.4595238095238094</v>
      </c>
      <c r="X25" s="29">
        <f t="shared" si="30"/>
        <v>1.3931818181818181</v>
      </c>
      <c r="Y25" s="29">
        <f t="shared" si="30"/>
        <v>1.3326086956521739</v>
      </c>
    </row>
    <row r="26" spans="1:25">
      <c r="A26" s="77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2.3525</v>
      </c>
      <c r="G26" s="29">
        <f t="shared" si="32"/>
        <v>2.282</v>
      </c>
      <c r="H26" s="29">
        <f t="shared" si="32"/>
        <v>1.9016666666666666</v>
      </c>
      <c r="I26" s="29">
        <f t="shared" si="32"/>
        <v>1.6300000000000001</v>
      </c>
      <c r="J26" s="29">
        <f t="shared" si="32"/>
        <v>1.42625</v>
      </c>
      <c r="K26" s="29">
        <f t="shared" si="32"/>
        <v>1.2677777777777779</v>
      </c>
      <c r="L26" s="29">
        <f t="shared" si="32"/>
        <v>1.141</v>
      </c>
      <c r="M26" s="51">
        <f t="shared" si="32"/>
        <v>1.0372727272727273</v>
      </c>
      <c r="N26" s="52">
        <f t="shared" si="32"/>
        <v>0.95083333333333331</v>
      </c>
      <c r="O26" s="29">
        <f t="shared" si="32"/>
        <v>0.87769230769230766</v>
      </c>
      <c r="P26" s="29">
        <f t="shared" si="32"/>
        <v>0.81500000000000006</v>
      </c>
      <c r="Q26" s="29">
        <f t="shared" si="32"/>
        <v>0.76066666666666671</v>
      </c>
      <c r="R26" s="29">
        <f t="shared" si="32"/>
        <v>0.71312500000000001</v>
      </c>
      <c r="S26" s="29">
        <f t="shared" si="32"/>
        <v>0.67117647058823526</v>
      </c>
      <c r="T26" s="29">
        <f t="shared" si="32"/>
        <v>0.63388888888888895</v>
      </c>
      <c r="U26" s="29">
        <f t="shared" si="32"/>
        <v>0.60052631578947369</v>
      </c>
      <c r="V26" s="29">
        <f t="shared" si="32"/>
        <v>0.57050000000000001</v>
      </c>
      <c r="W26" s="29">
        <f t="shared" si="32"/>
        <v>0.54333333333333333</v>
      </c>
      <c r="X26" s="29">
        <f t="shared" si="32"/>
        <v>0.51863636363636367</v>
      </c>
      <c r="Y26" s="29">
        <f t="shared" si="32"/>
        <v>0.49608695652173912</v>
      </c>
    </row>
    <row r="27" spans="1:25">
      <c r="A27" s="77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</v>
      </c>
      <c r="G27" s="29">
        <f t="shared" si="33"/>
        <v>1.8</v>
      </c>
      <c r="H27" s="29">
        <f t="shared" si="33"/>
        <v>1.5</v>
      </c>
      <c r="I27" s="29">
        <f t="shared" si="33"/>
        <v>1.2857142857142858</v>
      </c>
      <c r="J27" s="29">
        <f t="shared" si="33"/>
        <v>1.125</v>
      </c>
      <c r="K27" s="29">
        <f t="shared" si="33"/>
        <v>1</v>
      </c>
      <c r="L27" s="29">
        <f t="shared" si="33"/>
        <v>0.9</v>
      </c>
      <c r="M27" s="51">
        <f t="shared" si="33"/>
        <v>0.81818181818181823</v>
      </c>
      <c r="N27" s="52">
        <f t="shared" si="33"/>
        <v>0.75</v>
      </c>
      <c r="O27" s="29">
        <f t="shared" si="33"/>
        <v>0.69230769230769229</v>
      </c>
      <c r="P27" s="29">
        <f t="shared" si="33"/>
        <v>0.6428571428571429</v>
      </c>
      <c r="Q27" s="29">
        <f t="shared" si="33"/>
        <v>0.6</v>
      </c>
      <c r="R27" s="29">
        <f t="shared" si="33"/>
        <v>0.5625</v>
      </c>
      <c r="S27" s="29">
        <f t="shared" si="33"/>
        <v>0.52941176470588236</v>
      </c>
      <c r="T27" s="29">
        <f t="shared" si="33"/>
        <v>0.5</v>
      </c>
      <c r="U27" s="29">
        <f t="shared" si="33"/>
        <v>0.47368421052631576</v>
      </c>
      <c r="V27" s="29">
        <f t="shared" si="33"/>
        <v>0.45</v>
      </c>
      <c r="W27" s="29">
        <f t="shared" si="33"/>
        <v>0.42857142857142855</v>
      </c>
      <c r="X27" s="29">
        <f t="shared" si="33"/>
        <v>0.40909090909090912</v>
      </c>
      <c r="Y27" s="29">
        <f t="shared" si="33"/>
        <v>0.39130434782608697</v>
      </c>
    </row>
    <row r="28" spans="1:25">
      <c r="A28" s="77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6.875</v>
      </c>
      <c r="E28" s="29">
        <f t="shared" si="31"/>
        <v>8.7166666666666668</v>
      </c>
      <c r="F28" s="29">
        <f t="shared" ref="F28:Y28" si="34" xml:space="preserve"> F22 / F$6</f>
        <v>9.1</v>
      </c>
      <c r="G28" s="29">
        <f t="shared" si="34"/>
        <v>7.88</v>
      </c>
      <c r="H28" s="29">
        <f t="shared" si="34"/>
        <v>6.5666666666666664</v>
      </c>
      <c r="I28" s="29">
        <f t="shared" si="34"/>
        <v>5.6285714285714281</v>
      </c>
      <c r="J28" s="29">
        <f t="shared" si="34"/>
        <v>4.9249999999999998</v>
      </c>
      <c r="K28" s="29">
        <f t="shared" si="34"/>
        <v>4.3777777777777773</v>
      </c>
      <c r="L28" s="29">
        <f t="shared" si="34"/>
        <v>3.94</v>
      </c>
      <c r="M28" s="51">
        <f t="shared" si="34"/>
        <v>3.5818181818181816</v>
      </c>
      <c r="N28" s="52">
        <f t="shared" si="34"/>
        <v>3.2833333333333332</v>
      </c>
      <c r="O28" s="29">
        <f t="shared" si="34"/>
        <v>3.0307692307692307</v>
      </c>
      <c r="P28" s="29">
        <f t="shared" si="34"/>
        <v>2.8142857142857141</v>
      </c>
      <c r="Q28" s="29">
        <f t="shared" si="34"/>
        <v>2.6266666666666665</v>
      </c>
      <c r="R28" s="29">
        <f t="shared" si="34"/>
        <v>2.4624999999999999</v>
      </c>
      <c r="S28" s="29">
        <f t="shared" si="34"/>
        <v>2.3176470588235292</v>
      </c>
      <c r="T28" s="29">
        <f t="shared" si="34"/>
        <v>2.1888888888888887</v>
      </c>
      <c r="U28" s="29">
        <f t="shared" si="34"/>
        <v>2.0736842105263156</v>
      </c>
      <c r="V28" s="29">
        <f t="shared" si="34"/>
        <v>1.97</v>
      </c>
      <c r="W28" s="29">
        <f t="shared" si="34"/>
        <v>1.8761904761904762</v>
      </c>
      <c r="X28" s="29">
        <f t="shared" si="34"/>
        <v>1.7909090909090908</v>
      </c>
      <c r="Y28" s="29">
        <f t="shared" si="34"/>
        <v>1.7130434782608694</v>
      </c>
    </row>
    <row r="29" spans="1:25" ht="15">
      <c r="A29" s="77"/>
      <c r="B29" s="9" t="s">
        <v>30</v>
      </c>
      <c r="C29" s="30">
        <f t="shared" si="31"/>
        <v>5.91</v>
      </c>
      <c r="D29" s="30">
        <f t="shared" si="31"/>
        <v>11.455</v>
      </c>
      <c r="E29" s="30">
        <f t="shared" si="31"/>
        <v>13.936666666666667</v>
      </c>
      <c r="F29" s="30">
        <f t="shared" ref="F29:Y29" si="35" xml:space="preserve"> F23 / F$6</f>
        <v>13.265000000000001</v>
      </c>
      <c r="G29" s="30">
        <f t="shared" si="35"/>
        <v>12.712</v>
      </c>
      <c r="H29" s="30">
        <f t="shared" si="35"/>
        <v>10.593333333333334</v>
      </c>
      <c r="I29" s="30">
        <f t="shared" si="35"/>
        <v>9.08</v>
      </c>
      <c r="J29" s="30">
        <f t="shared" si="35"/>
        <v>7.9450000000000003</v>
      </c>
      <c r="K29" s="30">
        <f t="shared" si="35"/>
        <v>7.0622222222222222</v>
      </c>
      <c r="L29" s="30">
        <f t="shared" si="35"/>
        <v>6.3559999999999999</v>
      </c>
      <c r="M29" s="53">
        <f t="shared" si="35"/>
        <v>5.7781818181818183</v>
      </c>
      <c r="N29" s="54">
        <f t="shared" si="35"/>
        <v>5.2966666666666669</v>
      </c>
      <c r="O29" s="30">
        <f t="shared" si="35"/>
        <v>4.8892307692307693</v>
      </c>
      <c r="P29" s="30">
        <f t="shared" si="35"/>
        <v>4.54</v>
      </c>
      <c r="Q29" s="30">
        <f t="shared" si="35"/>
        <v>4.2373333333333338</v>
      </c>
      <c r="R29" s="30">
        <f t="shared" si="35"/>
        <v>3.9725000000000001</v>
      </c>
      <c r="S29" s="30">
        <f t="shared" si="35"/>
        <v>3.7388235294117647</v>
      </c>
      <c r="T29" s="30">
        <f t="shared" si="35"/>
        <v>3.5311111111111111</v>
      </c>
      <c r="U29" s="30">
        <f t="shared" si="35"/>
        <v>3.3452631578947369</v>
      </c>
      <c r="V29" s="30">
        <f t="shared" si="35"/>
        <v>3.1779999999999999</v>
      </c>
      <c r="W29" s="30">
        <f t="shared" si="35"/>
        <v>3.0266666666666668</v>
      </c>
      <c r="X29" s="30">
        <f t="shared" si="35"/>
        <v>2.8890909090909092</v>
      </c>
      <c r="Y29" s="30">
        <f t="shared" si="35"/>
        <v>2.7634782608695652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W47"/>
  <sheetViews>
    <sheetView workbookViewId="0">
      <selection activeCell="C18" sqref="C18:W18"/>
    </sheetView>
  </sheetViews>
  <sheetFormatPr baseColWidth="10" defaultColWidth="8.83203125" defaultRowHeight="14" x14ac:dyDescent="0"/>
  <cols>
    <col min="2" max="2" width="15.6640625" customWidth="1"/>
  </cols>
  <sheetData>
    <row r="1" spans="1:23" ht="18">
      <c r="C1" s="14" t="s">
        <v>29</v>
      </c>
    </row>
    <row r="2" spans="1:23" ht="18">
      <c r="B2" s="23" t="e">
        <f>SheetName</f>
        <v>#N/A</v>
      </c>
      <c r="C2" s="27" t="s">
        <v>38</v>
      </c>
    </row>
    <row r="3" spans="1:23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" thickBot="1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" thickBot="1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60">
        <v>0</v>
      </c>
      <c r="J6" s="61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" thickTop="1" thickBot="1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" thickTop="1" thickBot="1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" thickTop="1" thickBot="1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" thickBot="1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" thickBot="1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4">
        <f t="shared" si="2"/>
        <v>2</v>
      </c>
      <c r="J12" s="65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4">
        <f t="shared" si="2"/>
        <v>3</v>
      </c>
      <c r="Q12" s="65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" thickBot="1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" thickBot="1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" thickBot="1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" thickBot="1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2">
        <f t="shared" si="6"/>
        <v>3</v>
      </c>
      <c r="J16" s="63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2">
        <f t="shared" si="6"/>
        <v>6.25</v>
      </c>
      <c r="Q16" s="63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60">
        <v>0</v>
      </c>
      <c r="Q18" s="67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" thickTop="1" thickBot="1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" thickTop="1" thickBot="1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" thickTop="1" thickBot="1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" thickBot="1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2">
        <f t="shared" si="7"/>
        <v>2.5</v>
      </c>
      <c r="Q22" s="63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4">
        <f t="shared" si="9"/>
        <v>4</v>
      </c>
      <c r="Q24" s="65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" thickBot="1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2">
        <f t="shared" si="16"/>
        <v>16.66</v>
      </c>
      <c r="Q28" s="63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" thickBot="1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4">
        <f t="shared" si="17"/>
        <v>0.2857142857142857</v>
      </c>
      <c r="J30" s="65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4">
        <f t="shared" si="17"/>
        <v>0.5</v>
      </c>
      <c r="Q30" s="65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" thickBot="1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2">
        <f t="shared" si="21"/>
        <v>0.84428571428571431</v>
      </c>
      <c r="J34" s="63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2">
        <f t="shared" si="21"/>
        <v>1.6364285714285713</v>
      </c>
      <c r="Q34" s="63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" thickBot="1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" thickBot="1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" thickBot="1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" thickBot="1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" thickBot="1">
      <c r="A41" s="81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" thickBot="1">
      <c r="A42" s="19"/>
    </row>
    <row r="43" spans="1:23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" thickBot="1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" thickBot="1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" thickBot="1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" thickBot="1">
      <c r="A47" s="81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zoomScalePageLayoutView="115" workbookViewId="0">
      <selection activeCell="C18" sqref="C18:P18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1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4">
        <f t="shared" si="2"/>
        <v>1</v>
      </c>
      <c r="J12" s="65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4">
        <f t="shared" si="2"/>
        <v>6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2">
        <f t="shared" si="6"/>
        <v>4.5</v>
      </c>
      <c r="J16" s="63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2">
        <f t="shared" si="6"/>
        <v>12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1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2.5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1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9.25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4">
        <f t="shared" si="13"/>
        <v>0.14285714285714285</v>
      </c>
      <c r="J30" s="65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4">
        <f t="shared" si="13"/>
        <v>0.5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2">
        <f t="shared" si="17"/>
        <v>1.5357142857142858</v>
      </c>
      <c r="J34" s="63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2">
        <f t="shared" si="17"/>
        <v>1.5178571428571428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37" sqref="C37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R15" sqref="R15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t="shared" ref="C10:P10" si="1" xml:space="preserve"> SUM(C6:C9)</f>
        <v>0</v>
      </c>
      <c r="D10" s="21">
        <f t="shared" si="1"/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</v>
      </c>
      <c r="D30" s="22">
        <f t="shared" si="13"/>
        <v>0</v>
      </c>
      <c r="E30" s="22">
        <f t="shared" si="13"/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0</v>
      </c>
      <c r="E31" s="22">
        <f t="shared" si="14"/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0</v>
      </c>
      <c r="E32" s="22">
        <f t="shared" si="15"/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18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0</v>
      </c>
      <c r="D44" s="25">
        <f t="shared" ref="D44:D46" si="20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19"/>
        <v>0</v>
      </c>
      <c r="D45" s="25">
        <f t="shared" si="20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1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0" sqref="C40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baseColWidth="10" defaultColWidth="8.83203125" defaultRowHeight="14" x14ac:dyDescent="0"/>
  <cols>
    <col min="1" max="1" width="9.1640625" style="6" customWidth="1"/>
    <col min="2" max="2" width="15.6640625" customWidth="1"/>
  </cols>
  <sheetData>
    <row r="1" spans="1:16" ht="18">
      <c r="C1" s="14" t="s">
        <v>29</v>
      </c>
    </row>
    <row r="2" spans="1:16" ht="18">
      <c r="B2" s="26" t="e">
        <f>SheetName</f>
        <v>#N/A</v>
      </c>
      <c r="C2" s="27" t="s">
        <v>38</v>
      </c>
    </row>
    <row r="3" spans="1:16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" thickBot="1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" thickBot="1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" thickBot="1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" thickBot="1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" thickBot="1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" thickBot="1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" thickBot="1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" thickBot="1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" thickBot="1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" thickBot="1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" thickBot="1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" thickBot="1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" thickBot="1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" thickBot="1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" thickBot="1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" thickBot="1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" thickBot="1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" thickBot="1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" thickBot="1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" thickBot="1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" thickBot="1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" thickBot="1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" thickBot="1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" thickBot="1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" thickBot="1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" thickBot="1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" thickBot="1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" thickBot="1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" thickBot="1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" thickBot="1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" thickBot="1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" thickBot="1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" thickBot="1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" thickBot="1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" thickBot="1">
      <c r="A42" s="19"/>
    </row>
    <row r="43" spans="1:16" ht="15" thickBot="1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" thickBot="1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" thickBot="1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" thickBot="1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" thickBot="1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C9"/>
  <sheetViews>
    <sheetView workbookViewId="0">
      <selection activeCell="F20" sqref="F20"/>
    </sheetView>
  </sheetViews>
  <sheetFormatPr baseColWidth="10" defaultColWidth="8.83203125" defaultRowHeight="14" x14ac:dyDescent="0"/>
  <cols>
    <col min="1" max="1" width="17.6640625" bestFit="1" customWidth="1"/>
    <col min="2" max="2" width="14.33203125" customWidth="1"/>
  </cols>
  <sheetData>
    <row r="1" spans="1:3" ht="18">
      <c r="B1" s="14" t="s">
        <v>26</v>
      </c>
    </row>
    <row r="3" spans="1:3">
      <c r="A3" s="3" t="s">
        <v>1</v>
      </c>
      <c r="B3" s="40">
        <v>42254</v>
      </c>
    </row>
    <row r="4" spans="1:3">
      <c r="A4" s="3" t="s">
        <v>25</v>
      </c>
      <c r="B4" s="40">
        <v>42380</v>
      </c>
    </row>
    <row r="5" spans="1:3">
      <c r="A5" s="3"/>
    </row>
    <row r="6" spans="1:3" ht="15" thickBot="1">
      <c r="B6" s="2" t="s">
        <v>0</v>
      </c>
      <c r="C6" s="2" t="s">
        <v>28</v>
      </c>
    </row>
    <row r="7" spans="1:3" ht="15" thickBot="1">
      <c r="A7" s="3" t="s">
        <v>2</v>
      </c>
      <c r="B7" s="13" t="s">
        <v>46</v>
      </c>
      <c r="C7" s="16" t="s">
        <v>47</v>
      </c>
    </row>
    <row r="8" spans="1:3" ht="15" thickBot="1">
      <c r="A8" s="3" t="s">
        <v>3</v>
      </c>
      <c r="B8" s="13" t="s">
        <v>48</v>
      </c>
      <c r="C8" s="16" t="s">
        <v>49</v>
      </c>
    </row>
    <row r="9" spans="1:3" ht="15" thickBot="1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2015-10-12T18:37:35Z</dcterms:modified>
</cp:coreProperties>
</file>
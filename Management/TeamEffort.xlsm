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3635" yWindow="-21615" windowWidth="38400" windowHeight="21135" tabRatio="695" activeTab="3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2" l="1"/>
  <c r="C4" i="43"/>
  <c r="B2" i="43"/>
  <c r="B2" i="42"/>
  <c r="C4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<sst xmlns="http://schemas.openxmlformats.org/spreadsheetml/2006/main" count="294" uniqueCount="52">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</sst>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8008"/>
        <c:axId val="29573075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15.312999999999999</c:v>
                </c:pt>
                <c:pt idx="10">
                  <c:v>13.92090909090909</c:v>
                </c:pt>
                <c:pt idx="11">
                  <c:v>12.760833333333332</c:v>
                </c:pt>
                <c:pt idx="12">
                  <c:v>11.779230769230768</c:v>
                </c:pt>
                <c:pt idx="13">
                  <c:v>10.937857142857142</c:v>
                </c:pt>
                <c:pt idx="14">
                  <c:v>10.208666666666666</c:v>
                </c:pt>
                <c:pt idx="15">
                  <c:v>9.5706249999999997</c:v>
                </c:pt>
                <c:pt idx="16">
                  <c:v>9.0076470588235296</c:v>
                </c:pt>
                <c:pt idx="17">
                  <c:v>8.5072222222222216</c:v>
                </c:pt>
                <c:pt idx="18">
                  <c:v>8.0594736842105252</c:v>
                </c:pt>
                <c:pt idx="19">
                  <c:v>7.6564999999999994</c:v>
                </c:pt>
                <c:pt idx="20">
                  <c:v>7.2919047619047621</c:v>
                </c:pt>
                <c:pt idx="21">
                  <c:v>6.960454545454545</c:v>
                </c:pt>
                <c:pt idx="22">
                  <c:v>6.6578260869565211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28008"/>
        <c:axId val="295730752"/>
      </c:lineChart>
      <c:catAx>
        <c:axId val="295728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30752"/>
        <c:crosses val="autoZero"/>
        <c:auto val="0"/>
        <c:lblAlgn val="ctr"/>
        <c:lblOffset val="100"/>
        <c:noMultiLvlLbl val="0"/>
      </c:catAx>
      <c:valAx>
        <c:axId val="29573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28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31144"/>
        <c:axId val="2957323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5.75</c:v>
                </c:pt>
                <c:pt idx="2">
                  <c:v>5.8</c:v>
                </c:pt>
                <c:pt idx="3">
                  <c:v>6.0374999999999996</c:v>
                </c:pt>
                <c:pt idx="4">
                  <c:v>6.13</c:v>
                </c:pt>
                <c:pt idx="5">
                  <c:v>5.9416666666666664</c:v>
                </c:pt>
                <c:pt idx="6">
                  <c:v>6.5928571428571425</c:v>
                </c:pt>
                <c:pt idx="7">
                  <c:v>7.1437499999999998</c:v>
                </c:pt>
                <c:pt idx="8">
                  <c:v>7.3500000000000005</c:v>
                </c:pt>
                <c:pt idx="9">
                  <c:v>6.6150000000000002</c:v>
                </c:pt>
                <c:pt idx="10">
                  <c:v>6.0136363636363646</c:v>
                </c:pt>
                <c:pt idx="11">
                  <c:v>5.5125000000000002</c:v>
                </c:pt>
                <c:pt idx="12">
                  <c:v>5.088461538461539</c:v>
                </c:pt>
                <c:pt idx="13">
                  <c:v>4.7250000000000005</c:v>
                </c:pt>
                <c:pt idx="14">
                  <c:v>4.41</c:v>
                </c:pt>
                <c:pt idx="15">
                  <c:v>4.1343750000000004</c:v>
                </c:pt>
                <c:pt idx="16">
                  <c:v>3.8911764705882357</c:v>
                </c:pt>
                <c:pt idx="17">
                  <c:v>3.6750000000000003</c:v>
                </c:pt>
                <c:pt idx="18">
                  <c:v>3.4815789473684213</c:v>
                </c:pt>
                <c:pt idx="19">
                  <c:v>3.3075000000000001</c:v>
                </c:pt>
                <c:pt idx="20">
                  <c:v>3.1500000000000004</c:v>
                </c:pt>
                <c:pt idx="21">
                  <c:v>3.0068181818181823</c:v>
                </c:pt>
                <c:pt idx="22">
                  <c:v>2.8760869565217395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31144"/>
        <c:axId val="295732320"/>
      </c:lineChart>
      <c:catAx>
        <c:axId val="295731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32320"/>
        <c:crosses val="autoZero"/>
        <c:auto val="0"/>
        <c:lblAlgn val="ctr"/>
        <c:lblOffset val="100"/>
        <c:noMultiLvlLbl val="0"/>
      </c:catAx>
      <c:valAx>
        <c:axId val="295732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31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31928"/>
        <c:axId val="29573349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2.2050000000000001</c:v>
                </c:pt>
                <c:pt idx="2">
                  <c:v>2.97</c:v>
                </c:pt>
                <c:pt idx="3">
                  <c:v>2.4775</c:v>
                </c:pt>
                <c:pt idx="4">
                  <c:v>2.3820000000000001</c:v>
                </c:pt>
                <c:pt idx="5">
                  <c:v>2.3183333333333334</c:v>
                </c:pt>
                <c:pt idx="6">
                  <c:v>3.701857142857143</c:v>
                </c:pt>
                <c:pt idx="7">
                  <c:v>4.6141249999999996</c:v>
                </c:pt>
                <c:pt idx="8">
                  <c:v>4.9903333333333331</c:v>
                </c:pt>
                <c:pt idx="9">
                  <c:v>4.4912999999999998</c:v>
                </c:pt>
                <c:pt idx="10">
                  <c:v>4.0829999999999993</c:v>
                </c:pt>
                <c:pt idx="11">
                  <c:v>3.7427499999999996</c:v>
                </c:pt>
                <c:pt idx="12">
                  <c:v>3.4548461538461535</c:v>
                </c:pt>
                <c:pt idx="13">
                  <c:v>3.2080714285714285</c:v>
                </c:pt>
                <c:pt idx="14">
                  <c:v>2.9941999999999998</c:v>
                </c:pt>
                <c:pt idx="15">
                  <c:v>2.8070624999999998</c:v>
                </c:pt>
                <c:pt idx="16">
                  <c:v>2.641941176470588</c:v>
                </c:pt>
                <c:pt idx="17">
                  <c:v>2.4951666666666665</c:v>
                </c:pt>
                <c:pt idx="18">
                  <c:v>2.3638421052631577</c:v>
                </c:pt>
                <c:pt idx="19">
                  <c:v>2.2456499999999999</c:v>
                </c:pt>
                <c:pt idx="20">
                  <c:v>2.1387142857142853</c:v>
                </c:pt>
                <c:pt idx="21">
                  <c:v>2.0414999999999996</c:v>
                </c:pt>
                <c:pt idx="22">
                  <c:v>1.9527391304347825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31928"/>
        <c:axId val="295733496"/>
      </c:lineChart>
      <c:catAx>
        <c:axId val="295731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33496"/>
        <c:crosses val="autoZero"/>
        <c:auto val="0"/>
        <c:lblAlgn val="ctr"/>
        <c:lblOffset val="100"/>
        <c:noMultiLvlLbl val="0"/>
      </c:catAx>
      <c:valAx>
        <c:axId val="295733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31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34672"/>
        <c:axId val="2957284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2.6666666666666665</c:v>
                </c:pt>
                <c:pt idx="3">
                  <c:v>2.75</c:v>
                </c:pt>
                <c:pt idx="4">
                  <c:v>2.4</c:v>
                </c:pt>
                <c:pt idx="5">
                  <c:v>2.8445</c:v>
                </c:pt>
                <c:pt idx="6">
                  <c:v>3.2238571428571428</c:v>
                </c:pt>
                <c:pt idx="7">
                  <c:v>3.570875</c:v>
                </c:pt>
                <c:pt idx="8">
                  <c:v>3.7296666666666667</c:v>
                </c:pt>
                <c:pt idx="9">
                  <c:v>3.3567</c:v>
                </c:pt>
                <c:pt idx="10">
                  <c:v>3.0515454545454546</c:v>
                </c:pt>
                <c:pt idx="11">
                  <c:v>2.79725</c:v>
                </c:pt>
                <c:pt idx="12">
                  <c:v>2.5820769230769232</c:v>
                </c:pt>
                <c:pt idx="13">
                  <c:v>2.397642857142857</c:v>
                </c:pt>
                <c:pt idx="14">
                  <c:v>2.2378</c:v>
                </c:pt>
                <c:pt idx="15">
                  <c:v>2.0979375</c:v>
                </c:pt>
                <c:pt idx="16">
                  <c:v>1.9745294117647059</c:v>
                </c:pt>
                <c:pt idx="17">
                  <c:v>1.8648333333333333</c:v>
                </c:pt>
                <c:pt idx="18">
                  <c:v>1.7666842105263159</c:v>
                </c:pt>
                <c:pt idx="19">
                  <c:v>1.67835</c:v>
                </c:pt>
                <c:pt idx="20">
                  <c:v>1.5984285714285715</c:v>
                </c:pt>
                <c:pt idx="21">
                  <c:v>1.5257727272727273</c:v>
                </c:pt>
                <c:pt idx="22">
                  <c:v>1.4594347826086957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34672"/>
        <c:axId val="295728400"/>
      </c:lineChart>
      <c:catAx>
        <c:axId val="295734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28400"/>
        <c:crosses val="autoZero"/>
        <c:auto val="0"/>
        <c:lblAlgn val="ctr"/>
        <c:lblOffset val="100"/>
        <c:noMultiLvlLbl val="0"/>
      </c:catAx>
      <c:valAx>
        <c:axId val="295728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34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14984"/>
        <c:axId val="29751694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6.875</c:v>
                </c:pt>
                <c:pt idx="2">
                  <c:v>8.7166666666666668</c:v>
                </c:pt>
                <c:pt idx="3">
                  <c:v>8.1</c:v>
                </c:pt>
                <c:pt idx="4">
                  <c:v>7.08</c:v>
                </c:pt>
                <c:pt idx="5">
                  <c:v>5.8999999999999995</c:v>
                </c:pt>
                <c:pt idx="6">
                  <c:v>5.0571428571428569</c:v>
                </c:pt>
                <c:pt idx="7">
                  <c:v>4.4249999999999998</c:v>
                </c:pt>
                <c:pt idx="8">
                  <c:v>3.9333333333333331</c:v>
                </c:pt>
                <c:pt idx="9">
                  <c:v>3.54</c:v>
                </c:pt>
                <c:pt idx="10">
                  <c:v>3.2181818181818183</c:v>
                </c:pt>
                <c:pt idx="11">
                  <c:v>2.9499999999999997</c:v>
                </c:pt>
                <c:pt idx="12">
                  <c:v>2.7230769230769232</c:v>
                </c:pt>
                <c:pt idx="13">
                  <c:v>2.5285714285714285</c:v>
                </c:pt>
                <c:pt idx="14">
                  <c:v>2.36</c:v>
                </c:pt>
                <c:pt idx="15">
                  <c:v>2.2124999999999999</c:v>
                </c:pt>
                <c:pt idx="16">
                  <c:v>2.0823529411764703</c:v>
                </c:pt>
                <c:pt idx="17">
                  <c:v>1.9666666666666666</c:v>
                </c:pt>
                <c:pt idx="18">
                  <c:v>1.8631578947368421</c:v>
                </c:pt>
                <c:pt idx="19">
                  <c:v>1.77</c:v>
                </c:pt>
                <c:pt idx="20">
                  <c:v>1.6857142857142857</c:v>
                </c:pt>
                <c:pt idx="21">
                  <c:v>1.6090909090909091</c:v>
                </c:pt>
                <c:pt idx="22">
                  <c:v>1.5391304347826087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14984"/>
        <c:axId val="297516944"/>
      </c:lineChart>
      <c:catAx>
        <c:axId val="297514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6944"/>
        <c:crosses val="autoZero"/>
        <c:auto val="0"/>
        <c:lblAlgn val="ctr"/>
        <c:lblOffset val="100"/>
        <c:noMultiLvlLbl val="0"/>
      </c:catAx>
      <c:valAx>
        <c:axId val="29751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4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18512"/>
        <c:axId val="2975212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18512"/>
        <c:axId val="297521256"/>
      </c:lineChart>
      <c:catAx>
        <c:axId val="297518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21256"/>
        <c:crosses val="autoZero"/>
        <c:auto val="1"/>
        <c:lblAlgn val="ctr"/>
        <c:lblOffset val="100"/>
        <c:noMultiLvlLbl val="1"/>
      </c:catAx>
      <c:valAx>
        <c:axId val="29752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15376"/>
        <c:axId val="2975161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15376"/>
        <c:axId val="297516160"/>
      </c:lineChart>
      <c:catAx>
        <c:axId val="297515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6160"/>
        <c:crosses val="autoZero"/>
        <c:auto val="1"/>
        <c:lblAlgn val="ctr"/>
        <c:lblOffset val="100"/>
        <c:noMultiLvlLbl val="1"/>
      </c:catAx>
      <c:valAx>
        <c:axId val="2975161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5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14592"/>
        <c:axId val="29751380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14592"/>
        <c:axId val="297513808"/>
      </c:lineChart>
      <c:catAx>
        <c:axId val="297514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3808"/>
        <c:crosses val="autoZero"/>
        <c:auto val="1"/>
        <c:lblAlgn val="ctr"/>
        <c:lblOffset val="100"/>
        <c:noMultiLvlLbl val="1"/>
      </c:catAx>
      <c:valAx>
        <c:axId val="297513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45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20472"/>
        <c:axId val="29751812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20472"/>
        <c:axId val="297518120"/>
      </c:lineChart>
      <c:catAx>
        <c:axId val="297520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8120"/>
        <c:crosses val="autoZero"/>
        <c:auto val="1"/>
        <c:lblAlgn val="ctr"/>
        <c:lblOffset val="100"/>
        <c:noMultiLvlLbl val="1"/>
      </c:catAx>
      <c:valAx>
        <c:axId val="297518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20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19296"/>
        <c:axId val="29751968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19296"/>
        <c:axId val="297519688"/>
      </c:lineChart>
      <c:catAx>
        <c:axId val="29751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9688"/>
        <c:crosses val="autoZero"/>
        <c:auto val="1"/>
        <c:lblAlgn val="ctr"/>
        <c:lblOffset val="100"/>
        <c:noMultiLvlLbl val="1"/>
      </c:catAx>
      <c:valAx>
        <c:axId val="297519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19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20864"/>
        <c:axId val="312832408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20864"/>
        <c:axId val="312832408"/>
      </c:lineChart>
      <c:catAx>
        <c:axId val="29752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2408"/>
        <c:crosses val="autoZero"/>
        <c:auto val="0"/>
        <c:lblAlgn val="ctr"/>
        <c:lblOffset val="100"/>
        <c:noMultiLvlLbl val="1"/>
      </c:catAx>
      <c:valAx>
        <c:axId val="31283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2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36328"/>
        <c:axId val="31283868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36328"/>
        <c:axId val="312838680"/>
      </c:lineChart>
      <c:catAx>
        <c:axId val="312836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8680"/>
        <c:crosses val="autoZero"/>
        <c:auto val="1"/>
        <c:lblAlgn val="ctr"/>
        <c:lblOffset val="100"/>
        <c:noMultiLvlLbl val="1"/>
      </c:catAx>
      <c:valAx>
        <c:axId val="312838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6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32800"/>
        <c:axId val="31283319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32800"/>
        <c:axId val="312833192"/>
      </c:lineChart>
      <c:catAx>
        <c:axId val="312832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3192"/>
        <c:crosses val="autoZero"/>
        <c:auto val="1"/>
        <c:lblAlgn val="ctr"/>
        <c:lblOffset val="100"/>
        <c:noMultiLvlLbl val="1"/>
      </c:catAx>
      <c:valAx>
        <c:axId val="3128331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2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33584"/>
        <c:axId val="31283789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33584"/>
        <c:axId val="312837896"/>
      </c:lineChart>
      <c:catAx>
        <c:axId val="31283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7896"/>
        <c:crosses val="autoZero"/>
        <c:auto val="1"/>
        <c:lblAlgn val="ctr"/>
        <c:lblOffset val="100"/>
        <c:noMultiLvlLbl val="1"/>
      </c:catAx>
      <c:valAx>
        <c:axId val="312837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3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36720"/>
        <c:axId val="31283750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36720"/>
        <c:axId val="312837504"/>
      </c:lineChart>
      <c:catAx>
        <c:axId val="31283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7504"/>
        <c:crosses val="autoZero"/>
        <c:auto val="1"/>
        <c:lblAlgn val="ctr"/>
        <c:lblOffset val="100"/>
        <c:noMultiLvlLbl val="1"/>
      </c:catAx>
      <c:valAx>
        <c:axId val="31283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6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34368"/>
        <c:axId val="31283476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34368"/>
        <c:axId val="312834760"/>
      </c:lineChart>
      <c:catAx>
        <c:axId val="31283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4760"/>
        <c:crosses val="autoZero"/>
        <c:auto val="0"/>
        <c:lblAlgn val="ctr"/>
        <c:lblOffset val="100"/>
        <c:noMultiLvlLbl val="1"/>
      </c:catAx>
      <c:valAx>
        <c:axId val="31283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35544"/>
        <c:axId val="31283593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35544"/>
        <c:axId val="312835936"/>
      </c:lineChart>
      <c:catAx>
        <c:axId val="312835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5936"/>
        <c:crosses val="autoZero"/>
        <c:auto val="1"/>
        <c:lblAlgn val="ctr"/>
        <c:lblOffset val="100"/>
        <c:noMultiLvlLbl val="1"/>
      </c:catAx>
      <c:valAx>
        <c:axId val="3128359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35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18920"/>
        <c:axId val="3133236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18920"/>
        <c:axId val="313323624"/>
      </c:lineChart>
      <c:catAx>
        <c:axId val="313318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3624"/>
        <c:crosses val="autoZero"/>
        <c:auto val="1"/>
        <c:lblAlgn val="ctr"/>
        <c:lblOffset val="100"/>
        <c:noMultiLvlLbl val="1"/>
      </c:catAx>
      <c:valAx>
        <c:axId val="313323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18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24016"/>
        <c:axId val="31332166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24016"/>
        <c:axId val="313321664"/>
      </c:lineChart>
      <c:catAx>
        <c:axId val="313324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1664"/>
        <c:crosses val="autoZero"/>
        <c:auto val="1"/>
        <c:lblAlgn val="ctr"/>
        <c:lblOffset val="100"/>
        <c:noMultiLvlLbl val="1"/>
      </c:catAx>
      <c:valAx>
        <c:axId val="313321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4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22840"/>
        <c:axId val="31332323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22840"/>
        <c:axId val="313323232"/>
      </c:lineChart>
      <c:catAx>
        <c:axId val="313322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3232"/>
        <c:crosses val="autoZero"/>
        <c:auto val="1"/>
        <c:lblAlgn val="ctr"/>
        <c:lblOffset val="100"/>
        <c:noMultiLvlLbl val="1"/>
      </c:catAx>
      <c:valAx>
        <c:axId val="313323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2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22056"/>
        <c:axId val="313324800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22056"/>
        <c:axId val="313324800"/>
      </c:lineChart>
      <c:catAx>
        <c:axId val="313322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4800"/>
        <c:crosses val="autoZero"/>
        <c:auto val="0"/>
        <c:lblAlgn val="ctr"/>
        <c:lblOffset val="100"/>
        <c:noMultiLvlLbl val="1"/>
      </c:catAx>
      <c:valAx>
        <c:axId val="3133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25584"/>
        <c:axId val="31331931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25584"/>
        <c:axId val="313319312"/>
      </c:lineChart>
      <c:catAx>
        <c:axId val="3133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19312"/>
        <c:crosses val="autoZero"/>
        <c:auto val="1"/>
        <c:lblAlgn val="ctr"/>
        <c:lblOffset val="100"/>
        <c:noMultiLvlLbl val="1"/>
      </c:catAx>
      <c:valAx>
        <c:axId val="313319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5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20488"/>
        <c:axId val="31332597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20488"/>
        <c:axId val="313325976"/>
      </c:lineChart>
      <c:catAx>
        <c:axId val="313320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5976"/>
        <c:crosses val="autoZero"/>
        <c:auto val="1"/>
        <c:lblAlgn val="ctr"/>
        <c:lblOffset val="100"/>
        <c:noMultiLvlLbl val="1"/>
      </c:catAx>
      <c:valAx>
        <c:axId val="313325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04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320880"/>
        <c:axId val="3133212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20880"/>
        <c:axId val="313321272"/>
      </c:lineChart>
      <c:catAx>
        <c:axId val="31332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1272"/>
        <c:crosses val="autoZero"/>
        <c:auto val="1"/>
        <c:lblAlgn val="ctr"/>
        <c:lblOffset val="100"/>
        <c:noMultiLvlLbl val="1"/>
      </c:catAx>
      <c:valAx>
        <c:axId val="313321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20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79984"/>
        <c:axId val="3140866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79984"/>
        <c:axId val="314086648"/>
      </c:lineChart>
      <c:catAx>
        <c:axId val="314079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6648"/>
        <c:crosses val="autoZero"/>
        <c:auto val="1"/>
        <c:lblAlgn val="ctr"/>
        <c:lblOffset val="100"/>
        <c:noMultiLvlLbl val="1"/>
      </c:catAx>
      <c:valAx>
        <c:axId val="314086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9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6256"/>
        <c:axId val="31408194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6256"/>
        <c:axId val="314081944"/>
      </c:lineChart>
      <c:catAx>
        <c:axId val="314086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1944"/>
        <c:crosses val="autoZero"/>
        <c:auto val="0"/>
        <c:lblAlgn val="ctr"/>
        <c:lblOffset val="100"/>
        <c:noMultiLvlLbl val="1"/>
      </c:catAx>
      <c:valAx>
        <c:axId val="31408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79200"/>
        <c:axId val="31407802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79200"/>
        <c:axId val="314078024"/>
      </c:lineChart>
      <c:catAx>
        <c:axId val="31407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8024"/>
        <c:crosses val="autoZero"/>
        <c:auto val="1"/>
        <c:lblAlgn val="ctr"/>
        <c:lblOffset val="100"/>
        <c:noMultiLvlLbl val="1"/>
      </c:catAx>
      <c:valAx>
        <c:axId val="314078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9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77240"/>
        <c:axId val="31407763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77240"/>
        <c:axId val="314077632"/>
      </c:lineChart>
      <c:catAx>
        <c:axId val="314077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7632"/>
        <c:crosses val="autoZero"/>
        <c:auto val="1"/>
        <c:lblAlgn val="ctr"/>
        <c:lblOffset val="100"/>
        <c:noMultiLvlLbl val="1"/>
      </c:catAx>
      <c:valAx>
        <c:axId val="314077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7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2728"/>
        <c:axId val="3140854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2728"/>
        <c:axId val="314085472"/>
      </c:lineChart>
      <c:catAx>
        <c:axId val="314082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5472"/>
        <c:crosses val="autoZero"/>
        <c:auto val="1"/>
        <c:lblAlgn val="ctr"/>
        <c:lblOffset val="100"/>
        <c:noMultiLvlLbl val="1"/>
      </c:catAx>
      <c:valAx>
        <c:axId val="314085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2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78808"/>
        <c:axId val="31408037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78808"/>
        <c:axId val="314080376"/>
      </c:lineChart>
      <c:catAx>
        <c:axId val="314078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0376"/>
        <c:crosses val="autoZero"/>
        <c:auto val="1"/>
        <c:lblAlgn val="ctr"/>
        <c:lblOffset val="100"/>
        <c:noMultiLvlLbl val="1"/>
      </c:catAx>
      <c:valAx>
        <c:axId val="314080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8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0768"/>
        <c:axId val="314087040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0768"/>
        <c:axId val="314087040"/>
      </c:lineChart>
      <c:catAx>
        <c:axId val="314080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7040"/>
        <c:crosses val="autoZero"/>
        <c:auto val="0"/>
        <c:lblAlgn val="ctr"/>
        <c:lblOffset val="100"/>
        <c:noMultiLvlLbl val="1"/>
      </c:catAx>
      <c:valAx>
        <c:axId val="3140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2336"/>
        <c:axId val="31407841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2336"/>
        <c:axId val="314078416"/>
      </c:lineChart>
      <c:catAx>
        <c:axId val="314082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78416"/>
        <c:crosses val="autoZero"/>
        <c:auto val="1"/>
        <c:lblAlgn val="ctr"/>
        <c:lblOffset val="100"/>
        <c:noMultiLvlLbl val="1"/>
      </c:catAx>
      <c:valAx>
        <c:axId val="314078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23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3120"/>
        <c:axId val="3140835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3120"/>
        <c:axId val="314083512"/>
      </c:lineChart>
      <c:catAx>
        <c:axId val="314083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3512"/>
        <c:crosses val="autoZero"/>
        <c:auto val="1"/>
        <c:lblAlgn val="ctr"/>
        <c:lblOffset val="100"/>
        <c:noMultiLvlLbl val="1"/>
      </c:catAx>
      <c:valAx>
        <c:axId val="314083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3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3904"/>
        <c:axId val="3140842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3904"/>
        <c:axId val="314084296"/>
      </c:lineChart>
      <c:catAx>
        <c:axId val="31408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4296"/>
        <c:crosses val="autoZero"/>
        <c:auto val="1"/>
        <c:lblAlgn val="ctr"/>
        <c:lblOffset val="100"/>
        <c:noMultiLvlLbl val="1"/>
      </c:catAx>
      <c:valAx>
        <c:axId val="314084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3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5864"/>
        <c:axId val="31409252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5864"/>
        <c:axId val="314092528"/>
      </c:lineChart>
      <c:catAx>
        <c:axId val="314085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92528"/>
        <c:crosses val="autoZero"/>
        <c:auto val="1"/>
        <c:lblAlgn val="ctr"/>
        <c:lblOffset val="100"/>
        <c:noMultiLvlLbl val="1"/>
      </c:catAx>
      <c:valAx>
        <c:axId val="314092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5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90960"/>
        <c:axId val="314091744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90960"/>
        <c:axId val="314091744"/>
      </c:lineChart>
      <c:catAx>
        <c:axId val="314090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91744"/>
        <c:crosses val="autoZero"/>
        <c:auto val="0"/>
        <c:lblAlgn val="ctr"/>
        <c:lblOffset val="100"/>
        <c:noMultiLvlLbl val="1"/>
      </c:catAx>
      <c:valAx>
        <c:axId val="31409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9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89784"/>
        <c:axId val="31409213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89784"/>
        <c:axId val="314092136"/>
      </c:lineChart>
      <c:catAx>
        <c:axId val="314089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92136"/>
        <c:crosses val="autoZero"/>
        <c:auto val="1"/>
        <c:lblAlgn val="ctr"/>
        <c:lblOffset val="100"/>
        <c:noMultiLvlLbl val="1"/>
      </c:catAx>
      <c:valAx>
        <c:axId val="314092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89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090176"/>
        <c:axId val="31314721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90176"/>
        <c:axId val="313147216"/>
      </c:lineChart>
      <c:catAx>
        <c:axId val="314090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7216"/>
        <c:crosses val="autoZero"/>
        <c:auto val="1"/>
        <c:lblAlgn val="ctr"/>
        <c:lblOffset val="100"/>
        <c:noMultiLvlLbl val="1"/>
      </c:catAx>
      <c:valAx>
        <c:axId val="313147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90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147608"/>
        <c:axId val="31314643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47608"/>
        <c:axId val="313146432"/>
      </c:lineChart>
      <c:catAx>
        <c:axId val="313147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6432"/>
        <c:crosses val="autoZero"/>
        <c:auto val="1"/>
        <c:lblAlgn val="ctr"/>
        <c:lblOffset val="100"/>
        <c:noMultiLvlLbl val="1"/>
      </c:catAx>
      <c:valAx>
        <c:axId val="313146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7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143688"/>
        <c:axId val="31314408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43688"/>
        <c:axId val="313144080"/>
      </c:lineChart>
      <c:catAx>
        <c:axId val="313143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4080"/>
        <c:crosses val="autoZero"/>
        <c:auto val="1"/>
        <c:lblAlgn val="ctr"/>
        <c:lblOffset val="100"/>
        <c:noMultiLvlLbl val="1"/>
      </c:catAx>
      <c:valAx>
        <c:axId val="313144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3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148784"/>
        <c:axId val="313142512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48784"/>
        <c:axId val="313142512"/>
      </c:lineChart>
      <c:catAx>
        <c:axId val="31314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2512"/>
        <c:crosses val="autoZero"/>
        <c:auto val="0"/>
        <c:lblAlgn val="ctr"/>
        <c:lblOffset val="100"/>
        <c:noMultiLvlLbl val="1"/>
      </c:catAx>
      <c:valAx>
        <c:axId val="31314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149568"/>
        <c:axId val="31314564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49568"/>
        <c:axId val="313145648"/>
      </c:lineChart>
      <c:catAx>
        <c:axId val="31314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5648"/>
        <c:crosses val="autoZero"/>
        <c:auto val="1"/>
        <c:lblAlgn val="ctr"/>
        <c:lblOffset val="100"/>
        <c:noMultiLvlLbl val="1"/>
      </c:catAx>
      <c:valAx>
        <c:axId val="313145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9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142904"/>
        <c:axId val="31314329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42904"/>
        <c:axId val="313143296"/>
      </c:lineChart>
      <c:catAx>
        <c:axId val="313142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3296"/>
        <c:crosses val="autoZero"/>
        <c:auto val="1"/>
        <c:lblAlgn val="ctr"/>
        <c:lblOffset val="100"/>
        <c:noMultiLvlLbl val="1"/>
      </c:catAx>
      <c:valAx>
        <c:axId val="313143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2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144472"/>
        <c:axId val="3131468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44472"/>
        <c:axId val="313146824"/>
      </c:lineChart>
      <c:catAx>
        <c:axId val="313144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6824"/>
        <c:crosses val="autoZero"/>
        <c:auto val="1"/>
        <c:lblAlgn val="ctr"/>
        <c:lblOffset val="100"/>
        <c:noMultiLvlLbl val="1"/>
      </c:catAx>
      <c:valAx>
        <c:axId val="313146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44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40488"/>
        <c:axId val="31634088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40488"/>
        <c:axId val="316340880"/>
      </c:lineChart>
      <c:catAx>
        <c:axId val="316340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40880"/>
        <c:crosses val="autoZero"/>
        <c:auto val="1"/>
        <c:lblAlgn val="ctr"/>
        <c:lblOffset val="100"/>
        <c:noMultiLvlLbl val="1"/>
      </c:catAx>
      <c:valAx>
        <c:axId val="316340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404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41272"/>
        <c:axId val="316338528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41272"/>
        <c:axId val="316338528"/>
      </c:lineChart>
      <c:catAx>
        <c:axId val="316341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8528"/>
        <c:crosses val="autoZero"/>
        <c:auto val="0"/>
        <c:lblAlgn val="ctr"/>
        <c:lblOffset val="100"/>
        <c:noMultiLvlLbl val="1"/>
      </c:catAx>
      <c:valAx>
        <c:axId val="31633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4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8920"/>
        <c:axId val="31633970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8920"/>
        <c:axId val="316339704"/>
      </c:lineChart>
      <c:catAx>
        <c:axId val="316338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9704"/>
        <c:crosses val="autoZero"/>
        <c:auto val="1"/>
        <c:lblAlgn val="ctr"/>
        <c:lblOffset val="100"/>
        <c:noMultiLvlLbl val="1"/>
      </c:catAx>
      <c:valAx>
        <c:axId val="316339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8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4608"/>
        <c:axId val="31633343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4608"/>
        <c:axId val="316333432"/>
      </c:lineChart>
      <c:catAx>
        <c:axId val="316334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3432"/>
        <c:crosses val="autoZero"/>
        <c:auto val="1"/>
        <c:lblAlgn val="ctr"/>
        <c:lblOffset val="100"/>
        <c:noMultiLvlLbl val="1"/>
      </c:catAx>
      <c:valAx>
        <c:axId val="316333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4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5784"/>
        <c:axId val="31633421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5784"/>
        <c:axId val="316334216"/>
      </c:lineChart>
      <c:catAx>
        <c:axId val="316335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4216"/>
        <c:crosses val="autoZero"/>
        <c:auto val="1"/>
        <c:lblAlgn val="ctr"/>
        <c:lblOffset val="100"/>
        <c:noMultiLvlLbl val="1"/>
      </c:catAx>
      <c:valAx>
        <c:axId val="316334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5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29904"/>
        <c:axId val="31632676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29904"/>
        <c:axId val="316326768"/>
      </c:lineChart>
      <c:catAx>
        <c:axId val="31632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6768"/>
        <c:crosses val="autoZero"/>
        <c:auto val="1"/>
        <c:lblAlgn val="ctr"/>
        <c:lblOffset val="100"/>
        <c:noMultiLvlLbl val="1"/>
      </c:catAx>
      <c:valAx>
        <c:axId val="316326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9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2256"/>
        <c:axId val="316332648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2256"/>
        <c:axId val="316332648"/>
      </c:lineChart>
      <c:catAx>
        <c:axId val="31633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2648"/>
        <c:crosses val="autoZero"/>
        <c:auto val="0"/>
        <c:lblAlgn val="ctr"/>
        <c:lblOffset val="100"/>
        <c:noMultiLvlLbl val="1"/>
      </c:catAx>
      <c:valAx>
        <c:axId val="31633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6568"/>
        <c:axId val="31633108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6568"/>
        <c:axId val="316331080"/>
      </c:lineChart>
      <c:catAx>
        <c:axId val="316336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1080"/>
        <c:crosses val="autoZero"/>
        <c:auto val="1"/>
        <c:lblAlgn val="ctr"/>
        <c:lblOffset val="100"/>
        <c:noMultiLvlLbl val="1"/>
      </c:catAx>
      <c:valAx>
        <c:axId val="316331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6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29512"/>
        <c:axId val="31633029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29512"/>
        <c:axId val="316330296"/>
      </c:lineChart>
      <c:catAx>
        <c:axId val="316329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0296"/>
        <c:crosses val="autoZero"/>
        <c:auto val="1"/>
        <c:lblAlgn val="ctr"/>
        <c:lblOffset val="100"/>
        <c:noMultiLvlLbl val="1"/>
      </c:catAx>
      <c:valAx>
        <c:axId val="316330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9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1472"/>
        <c:axId val="31633500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1472"/>
        <c:axId val="316335000"/>
      </c:lineChart>
      <c:catAx>
        <c:axId val="31633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5000"/>
        <c:crosses val="autoZero"/>
        <c:auto val="1"/>
        <c:lblAlgn val="ctr"/>
        <c:lblOffset val="100"/>
        <c:noMultiLvlLbl val="1"/>
      </c:catAx>
      <c:valAx>
        <c:axId val="316335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1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6176"/>
        <c:axId val="31633696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6176"/>
        <c:axId val="316336960"/>
      </c:lineChart>
      <c:catAx>
        <c:axId val="316336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6960"/>
        <c:crosses val="autoZero"/>
        <c:auto val="1"/>
        <c:lblAlgn val="ctr"/>
        <c:lblOffset val="100"/>
        <c:noMultiLvlLbl val="1"/>
      </c:catAx>
      <c:valAx>
        <c:axId val="3163369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6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27160"/>
        <c:axId val="316327552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27160"/>
        <c:axId val="316327552"/>
      </c:lineChart>
      <c:catAx>
        <c:axId val="316327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7552"/>
        <c:crosses val="autoZero"/>
        <c:auto val="0"/>
        <c:lblAlgn val="ctr"/>
        <c:lblOffset val="100"/>
        <c:noMultiLvlLbl val="1"/>
      </c:catAx>
      <c:valAx>
        <c:axId val="31632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37744"/>
        <c:axId val="3163283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37744"/>
        <c:axId val="316328336"/>
      </c:lineChart>
      <c:catAx>
        <c:axId val="316337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8336"/>
        <c:crosses val="autoZero"/>
        <c:auto val="1"/>
        <c:lblAlgn val="ctr"/>
        <c:lblOffset val="100"/>
        <c:noMultiLvlLbl val="1"/>
      </c:catAx>
      <c:valAx>
        <c:axId val="316328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37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325984"/>
        <c:axId val="31632637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25984"/>
        <c:axId val="316326376"/>
      </c:lineChart>
      <c:catAx>
        <c:axId val="31632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6376"/>
        <c:crosses val="autoZero"/>
        <c:auto val="1"/>
        <c:lblAlgn val="ctr"/>
        <c:lblOffset val="100"/>
        <c:noMultiLvlLbl val="1"/>
      </c:catAx>
      <c:valAx>
        <c:axId val="316326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25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721000"/>
        <c:axId val="31772178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21000"/>
        <c:axId val="317721784"/>
      </c:lineChart>
      <c:catAx>
        <c:axId val="31772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21784"/>
        <c:crosses val="autoZero"/>
        <c:auto val="1"/>
        <c:lblAlgn val="ctr"/>
        <c:lblOffset val="100"/>
        <c:noMultiLvlLbl val="1"/>
      </c:catAx>
      <c:valAx>
        <c:axId val="317721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21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712376"/>
        <c:axId val="31771355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12376"/>
        <c:axId val="317713552"/>
      </c:lineChart>
      <c:catAx>
        <c:axId val="317712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13552"/>
        <c:crosses val="autoZero"/>
        <c:auto val="1"/>
        <c:lblAlgn val="ctr"/>
        <c:lblOffset val="100"/>
        <c:noMultiLvlLbl val="1"/>
      </c:catAx>
      <c:valAx>
        <c:axId val="317713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12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E23" workbookViewId="0">
      <selection activeCell="S32" sqref="S3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0" t="s">
        <v>24</v>
      </c>
      <c r="D1" s="71"/>
      <c r="E1" s="71"/>
      <c r="F1" s="71"/>
      <c r="G1" s="71"/>
      <c r="H1" s="71"/>
      <c r="I1" s="71"/>
      <c r="J1" s="71"/>
      <c r="K1" s="71"/>
      <c r="L1" s="71"/>
      <c r="M1" s="71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8" t="s">
        <v>22</v>
      </c>
      <c r="D3" s="79"/>
      <c r="E3" s="79"/>
      <c r="F3" s="79"/>
      <c r="G3" s="79"/>
      <c r="H3" s="79"/>
      <c r="I3" s="79"/>
      <c r="J3" s="79"/>
      <c r="K3" s="79"/>
      <c r="L3" s="79"/>
      <c r="M3" s="79"/>
      <c r="N3" s="79" t="s">
        <v>23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80"/>
    </row>
    <row r="4" spans="1:25" ht="15.75" x14ac:dyDescent="0.25">
      <c r="C4" s="75" t="s">
        <v>12</v>
      </c>
      <c r="D4" s="75"/>
      <c r="E4" s="75"/>
      <c r="F4" s="75" t="s">
        <v>11</v>
      </c>
      <c r="G4" s="75"/>
      <c r="H4" s="75" t="s">
        <v>13</v>
      </c>
      <c r="I4" s="75"/>
      <c r="J4" s="75" t="s">
        <v>14</v>
      </c>
      <c r="K4" s="75"/>
      <c r="L4" s="72" t="s">
        <v>15</v>
      </c>
      <c r="M4" s="73"/>
      <c r="N4" s="73" t="s">
        <v>16</v>
      </c>
      <c r="O4" s="74"/>
      <c r="P4" s="75" t="s">
        <v>17</v>
      </c>
      <c r="Q4" s="75"/>
      <c r="R4" s="75" t="s">
        <v>18</v>
      </c>
      <c r="S4" s="75"/>
      <c r="T4" s="75" t="s">
        <v>19</v>
      </c>
      <c r="U4" s="75"/>
      <c r="V4" s="75" t="s">
        <v>20</v>
      </c>
      <c r="W4" s="75"/>
      <c r="X4" s="75" t="s">
        <v>21</v>
      </c>
      <c r="Y4" s="75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6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6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6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6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6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76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6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6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6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6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77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D14</f>
        <v>11.5</v>
      </c>
      <c r="E19" s="25">
        <f t="shared" ref="E19:Y22" si="25" xml:space="preserve"> D19 + E7 + E14</f>
        <v>17.399999999999999</v>
      </c>
      <c r="F19" s="25">
        <f t="shared" si="25"/>
        <v>24.15</v>
      </c>
      <c r="G19" s="25">
        <f t="shared" si="25"/>
        <v>30.65</v>
      </c>
      <c r="H19" s="25">
        <f t="shared" si="25"/>
        <v>35.65</v>
      </c>
      <c r="I19" s="25">
        <f t="shared" si="25"/>
        <v>46.15</v>
      </c>
      <c r="J19" s="25">
        <f t="shared" si="25"/>
        <v>57.15</v>
      </c>
      <c r="K19" s="25">
        <f t="shared" si="25"/>
        <v>66.150000000000006</v>
      </c>
      <c r="L19" s="25">
        <f t="shared" si="25"/>
        <v>66.150000000000006</v>
      </c>
      <c r="M19" s="45">
        <f t="shared" si="25"/>
        <v>66.150000000000006</v>
      </c>
      <c r="N19" s="46">
        <f t="shared" si="25"/>
        <v>66.150000000000006</v>
      </c>
      <c r="O19" s="25">
        <f t="shared" si="25"/>
        <v>66.150000000000006</v>
      </c>
      <c r="P19" s="25">
        <f t="shared" si="25"/>
        <v>66.150000000000006</v>
      </c>
      <c r="Q19" s="25">
        <f t="shared" si="25"/>
        <v>66.150000000000006</v>
      </c>
      <c r="R19" s="25">
        <f t="shared" si="25"/>
        <v>66.150000000000006</v>
      </c>
      <c r="S19" s="25">
        <f t="shared" si="25"/>
        <v>66.150000000000006</v>
      </c>
      <c r="T19" s="25">
        <f t="shared" si="25"/>
        <v>66.150000000000006</v>
      </c>
      <c r="U19" s="25">
        <f t="shared" si="25"/>
        <v>66.150000000000006</v>
      </c>
      <c r="V19" s="25">
        <f t="shared" si="25"/>
        <v>66.150000000000006</v>
      </c>
      <c r="W19" s="25">
        <f t="shared" si="25"/>
        <v>66.150000000000006</v>
      </c>
      <c r="X19" s="25">
        <f t="shared" si="25"/>
        <v>66.150000000000006</v>
      </c>
      <c r="Y19" s="25">
        <f t="shared" si="25"/>
        <v>66.150000000000006</v>
      </c>
    </row>
    <row r="20" spans="1:25" x14ac:dyDescent="0.25">
      <c r="A20" s="77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9.91</v>
      </c>
      <c r="G20" s="25">
        <f t="shared" si="27"/>
        <v>11.91</v>
      </c>
      <c r="H20" s="25">
        <f t="shared" si="27"/>
        <v>13.91</v>
      </c>
      <c r="I20" s="25">
        <f t="shared" si="27"/>
        <v>25.913</v>
      </c>
      <c r="J20" s="25">
        <f t="shared" si="27"/>
        <v>36.912999999999997</v>
      </c>
      <c r="K20" s="25">
        <f t="shared" si="27"/>
        <v>44.912999999999997</v>
      </c>
      <c r="L20" s="25">
        <f t="shared" si="27"/>
        <v>44.912999999999997</v>
      </c>
      <c r="M20" s="45">
        <f t="shared" si="27"/>
        <v>44.912999999999997</v>
      </c>
      <c r="N20" s="46">
        <f t="shared" si="27"/>
        <v>44.912999999999997</v>
      </c>
      <c r="O20" s="25">
        <f t="shared" si="27"/>
        <v>44.912999999999997</v>
      </c>
      <c r="P20" s="25">
        <f t="shared" si="27"/>
        <v>44.912999999999997</v>
      </c>
      <c r="Q20" s="25">
        <f t="shared" si="27"/>
        <v>44.912999999999997</v>
      </c>
      <c r="R20" s="25">
        <f t="shared" si="27"/>
        <v>44.912999999999997</v>
      </c>
      <c r="S20" s="25">
        <f t="shared" si="27"/>
        <v>44.912999999999997</v>
      </c>
      <c r="T20" s="25">
        <f t="shared" si="25"/>
        <v>44.912999999999997</v>
      </c>
      <c r="U20" s="25">
        <f t="shared" si="25"/>
        <v>44.912999999999997</v>
      </c>
      <c r="V20" s="25">
        <f t="shared" si="25"/>
        <v>44.912999999999997</v>
      </c>
      <c r="W20" s="25">
        <f t="shared" si="25"/>
        <v>44.912999999999997</v>
      </c>
      <c r="X20" s="25">
        <f t="shared" si="25"/>
        <v>44.912999999999997</v>
      </c>
      <c r="Y20" s="25">
        <f t="shared" si="25"/>
        <v>44.912999999999997</v>
      </c>
    </row>
    <row r="21" spans="1:25" x14ac:dyDescent="0.25">
      <c r="A21" s="77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11</v>
      </c>
      <c r="G21" s="25">
        <f t="shared" si="25"/>
        <v>12</v>
      </c>
      <c r="H21" s="25">
        <f t="shared" si="25"/>
        <v>17.067</v>
      </c>
      <c r="I21" s="25">
        <f t="shared" si="25"/>
        <v>22.567</v>
      </c>
      <c r="J21" s="25">
        <f t="shared" si="25"/>
        <v>28.567</v>
      </c>
      <c r="K21" s="25">
        <f t="shared" si="25"/>
        <v>33.567</v>
      </c>
      <c r="L21" s="25">
        <f t="shared" si="25"/>
        <v>33.567</v>
      </c>
      <c r="M21" s="45">
        <f t="shared" si="25"/>
        <v>33.567</v>
      </c>
      <c r="N21" s="46">
        <f t="shared" si="25"/>
        <v>33.567</v>
      </c>
      <c r="O21" s="25">
        <f t="shared" si="25"/>
        <v>33.567</v>
      </c>
      <c r="P21" s="25">
        <f t="shared" si="25"/>
        <v>33.567</v>
      </c>
      <c r="Q21" s="25">
        <f t="shared" si="25"/>
        <v>33.567</v>
      </c>
      <c r="R21" s="25">
        <f t="shared" si="25"/>
        <v>33.567</v>
      </c>
      <c r="S21" s="25">
        <f t="shared" si="25"/>
        <v>33.567</v>
      </c>
      <c r="T21" s="25">
        <f t="shared" si="25"/>
        <v>33.567</v>
      </c>
      <c r="U21" s="25">
        <f t="shared" si="25"/>
        <v>33.567</v>
      </c>
      <c r="V21" s="25">
        <f t="shared" si="25"/>
        <v>33.567</v>
      </c>
      <c r="W21" s="25">
        <f t="shared" si="25"/>
        <v>33.567</v>
      </c>
      <c r="X21" s="25">
        <f t="shared" si="25"/>
        <v>33.567</v>
      </c>
      <c r="Y21" s="25">
        <f t="shared" si="25"/>
        <v>33.567</v>
      </c>
    </row>
    <row r="22" spans="1:25" x14ac:dyDescent="0.25">
      <c r="A22" s="77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13.75</v>
      </c>
      <c r="E22" s="25">
        <f t="shared" si="25"/>
        <v>26.15</v>
      </c>
      <c r="F22" s="25">
        <f t="shared" si="25"/>
        <v>32.4</v>
      </c>
      <c r="G22" s="25">
        <f t="shared" si="25"/>
        <v>35.4</v>
      </c>
      <c r="H22" s="25">
        <f t="shared" si="25"/>
        <v>35.4</v>
      </c>
      <c r="I22" s="25">
        <f t="shared" si="25"/>
        <v>35.4</v>
      </c>
      <c r="J22" s="25">
        <f t="shared" si="25"/>
        <v>35.4</v>
      </c>
      <c r="K22" s="25">
        <f t="shared" si="25"/>
        <v>35.4</v>
      </c>
      <c r="L22" s="25">
        <f t="shared" si="25"/>
        <v>35.4</v>
      </c>
      <c r="M22" s="45">
        <f t="shared" si="25"/>
        <v>35.4</v>
      </c>
      <c r="N22" s="46">
        <f t="shared" si="25"/>
        <v>35.4</v>
      </c>
      <c r="O22" s="25">
        <f t="shared" si="25"/>
        <v>35.4</v>
      </c>
      <c r="P22" s="25">
        <f t="shared" si="25"/>
        <v>35.4</v>
      </c>
      <c r="Q22" s="25">
        <f t="shared" si="25"/>
        <v>35.4</v>
      </c>
      <c r="R22" s="25">
        <f t="shared" si="25"/>
        <v>35.4</v>
      </c>
      <c r="S22" s="25">
        <f t="shared" si="25"/>
        <v>35.4</v>
      </c>
      <c r="T22" s="25">
        <f t="shared" si="25"/>
        <v>35.4</v>
      </c>
      <c r="U22" s="25">
        <f t="shared" si="25"/>
        <v>35.4</v>
      </c>
      <c r="V22" s="25">
        <f t="shared" si="25"/>
        <v>35.4</v>
      </c>
      <c r="W22" s="25">
        <f t="shared" si="25"/>
        <v>35.4</v>
      </c>
      <c r="X22" s="25">
        <f t="shared" si="25"/>
        <v>35.4</v>
      </c>
      <c r="Y22" s="25">
        <f t="shared" si="25"/>
        <v>35.4</v>
      </c>
    </row>
    <row r="23" spans="1:25" ht="15.75" x14ac:dyDescent="0.25">
      <c r="A23" s="77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28" xml:space="preserve"> D23 + E11 + E17</f>
        <v>41.81</v>
      </c>
      <c r="F23" s="21">
        <f t="shared" si="28"/>
        <v>52.56</v>
      </c>
      <c r="G23" s="21">
        <f t="shared" si="28"/>
        <v>63.06</v>
      </c>
      <c r="H23" s="21">
        <f t="shared" si="28"/>
        <v>75.12700000000001</v>
      </c>
      <c r="I23" s="21">
        <f t="shared" si="28"/>
        <v>103.13000000000001</v>
      </c>
      <c r="J23" s="21">
        <f t="shared" si="28"/>
        <v>131.13</v>
      </c>
      <c r="K23" s="21">
        <f t="shared" si="28"/>
        <v>153.13</v>
      </c>
      <c r="L23" s="21">
        <f t="shared" si="28"/>
        <v>153.13</v>
      </c>
      <c r="M23" s="47">
        <f t="shared" si="28"/>
        <v>153.13</v>
      </c>
      <c r="N23" s="48">
        <f t="shared" si="28"/>
        <v>153.13</v>
      </c>
      <c r="O23" s="21">
        <f t="shared" si="28"/>
        <v>153.13</v>
      </c>
      <c r="P23" s="21">
        <f t="shared" si="28"/>
        <v>153.13</v>
      </c>
      <c r="Q23" s="21">
        <f t="shared" si="28"/>
        <v>153.13</v>
      </c>
      <c r="R23" s="21">
        <f t="shared" si="28"/>
        <v>153.13</v>
      </c>
      <c r="S23" s="21">
        <f t="shared" si="28"/>
        <v>153.13</v>
      </c>
      <c r="T23" s="21">
        <f t="shared" si="28"/>
        <v>153.13</v>
      </c>
      <c r="U23" s="21">
        <f t="shared" si="28"/>
        <v>153.13</v>
      </c>
      <c r="V23" s="21">
        <f t="shared" si="28"/>
        <v>153.13</v>
      </c>
      <c r="W23" s="21">
        <f t="shared" si="28"/>
        <v>153.13</v>
      </c>
      <c r="X23" s="21">
        <f t="shared" si="28"/>
        <v>153.13</v>
      </c>
      <c r="Y23" s="21">
        <f t="shared" si="28"/>
        <v>153.13</v>
      </c>
    </row>
    <row r="24" spans="1:25" ht="15.75" x14ac:dyDescent="0.25">
      <c r="A24" s="19"/>
      <c r="B24" s="20"/>
      <c r="M24" s="49"/>
      <c r="N24" s="50"/>
    </row>
    <row r="25" spans="1:25" x14ac:dyDescent="0.25">
      <c r="A25" s="77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29" xml:space="preserve"> D19 / D$6</f>
        <v>5.75</v>
      </c>
      <c r="E25" s="29">
        <f t="shared" si="29"/>
        <v>5.8</v>
      </c>
      <c r="F25" s="29">
        <f t="shared" ref="F25:Y25" si="30" xml:space="preserve"> F19 / F$6</f>
        <v>6.0374999999999996</v>
      </c>
      <c r="G25" s="29">
        <f t="shared" si="30"/>
        <v>6.13</v>
      </c>
      <c r="H25" s="29">
        <f t="shared" si="30"/>
        <v>5.9416666666666664</v>
      </c>
      <c r="I25" s="29">
        <f t="shared" si="30"/>
        <v>6.5928571428571425</v>
      </c>
      <c r="J25" s="29">
        <f t="shared" si="30"/>
        <v>7.1437499999999998</v>
      </c>
      <c r="K25" s="29">
        <f t="shared" si="30"/>
        <v>7.3500000000000005</v>
      </c>
      <c r="L25" s="29">
        <f t="shared" si="30"/>
        <v>6.6150000000000002</v>
      </c>
      <c r="M25" s="51">
        <f t="shared" si="30"/>
        <v>6.0136363636363646</v>
      </c>
      <c r="N25" s="52">
        <f t="shared" si="30"/>
        <v>5.5125000000000002</v>
      </c>
      <c r="O25" s="29">
        <f t="shared" si="30"/>
        <v>5.088461538461539</v>
      </c>
      <c r="P25" s="29">
        <f t="shared" si="30"/>
        <v>4.7250000000000005</v>
      </c>
      <c r="Q25" s="29">
        <f t="shared" si="30"/>
        <v>4.41</v>
      </c>
      <c r="R25" s="29">
        <f t="shared" si="30"/>
        <v>4.1343750000000004</v>
      </c>
      <c r="S25" s="29">
        <f t="shared" si="30"/>
        <v>3.8911764705882357</v>
      </c>
      <c r="T25" s="29">
        <f t="shared" si="30"/>
        <v>3.6750000000000003</v>
      </c>
      <c r="U25" s="29">
        <f t="shared" si="30"/>
        <v>3.4815789473684213</v>
      </c>
      <c r="V25" s="29">
        <f t="shared" si="30"/>
        <v>3.3075000000000001</v>
      </c>
      <c r="W25" s="29">
        <f t="shared" si="30"/>
        <v>3.1500000000000004</v>
      </c>
      <c r="X25" s="29">
        <f t="shared" si="30"/>
        <v>3.0068181818181823</v>
      </c>
      <c r="Y25" s="29">
        <f t="shared" si="30"/>
        <v>2.8760869565217395</v>
      </c>
    </row>
    <row r="26" spans="1:25" x14ac:dyDescent="0.25">
      <c r="A26" s="77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2.4775</v>
      </c>
      <c r="G26" s="29">
        <f t="shared" si="32"/>
        <v>2.3820000000000001</v>
      </c>
      <c r="H26" s="29">
        <f t="shared" si="32"/>
        <v>2.3183333333333334</v>
      </c>
      <c r="I26" s="29">
        <f t="shared" si="32"/>
        <v>3.701857142857143</v>
      </c>
      <c r="J26" s="29">
        <f t="shared" si="32"/>
        <v>4.6141249999999996</v>
      </c>
      <c r="K26" s="29">
        <f t="shared" si="32"/>
        <v>4.9903333333333331</v>
      </c>
      <c r="L26" s="29">
        <f t="shared" si="32"/>
        <v>4.4912999999999998</v>
      </c>
      <c r="M26" s="51">
        <f t="shared" si="32"/>
        <v>4.0829999999999993</v>
      </c>
      <c r="N26" s="52">
        <f t="shared" si="32"/>
        <v>3.7427499999999996</v>
      </c>
      <c r="O26" s="29">
        <f t="shared" si="32"/>
        <v>3.4548461538461535</v>
      </c>
      <c r="P26" s="29">
        <f t="shared" si="32"/>
        <v>3.2080714285714285</v>
      </c>
      <c r="Q26" s="29">
        <f t="shared" si="32"/>
        <v>2.9941999999999998</v>
      </c>
      <c r="R26" s="29">
        <f t="shared" si="32"/>
        <v>2.8070624999999998</v>
      </c>
      <c r="S26" s="29">
        <f t="shared" si="32"/>
        <v>2.641941176470588</v>
      </c>
      <c r="T26" s="29">
        <f t="shared" si="32"/>
        <v>2.4951666666666665</v>
      </c>
      <c r="U26" s="29">
        <f t="shared" si="32"/>
        <v>2.3638421052631577</v>
      </c>
      <c r="V26" s="29">
        <f t="shared" si="32"/>
        <v>2.2456499999999999</v>
      </c>
      <c r="W26" s="29">
        <f t="shared" si="32"/>
        <v>2.1387142857142853</v>
      </c>
      <c r="X26" s="29">
        <f t="shared" si="32"/>
        <v>2.0414999999999996</v>
      </c>
      <c r="Y26" s="29">
        <f t="shared" si="32"/>
        <v>1.9527391304347825</v>
      </c>
    </row>
    <row r="27" spans="1:25" x14ac:dyDescent="0.25">
      <c r="A27" s="77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2.75</v>
      </c>
      <c r="G27" s="29">
        <f t="shared" si="33"/>
        <v>2.4</v>
      </c>
      <c r="H27" s="29">
        <f t="shared" si="33"/>
        <v>2.8445</v>
      </c>
      <c r="I27" s="29">
        <f t="shared" si="33"/>
        <v>3.2238571428571428</v>
      </c>
      <c r="J27" s="29">
        <f t="shared" si="33"/>
        <v>3.570875</v>
      </c>
      <c r="K27" s="29">
        <f t="shared" si="33"/>
        <v>3.7296666666666667</v>
      </c>
      <c r="L27" s="29">
        <f t="shared" si="33"/>
        <v>3.3567</v>
      </c>
      <c r="M27" s="51">
        <f t="shared" si="33"/>
        <v>3.0515454545454546</v>
      </c>
      <c r="N27" s="52">
        <f t="shared" si="33"/>
        <v>2.79725</v>
      </c>
      <c r="O27" s="29">
        <f t="shared" si="33"/>
        <v>2.5820769230769232</v>
      </c>
      <c r="P27" s="29">
        <f t="shared" si="33"/>
        <v>2.397642857142857</v>
      </c>
      <c r="Q27" s="29">
        <f t="shared" si="33"/>
        <v>2.2378</v>
      </c>
      <c r="R27" s="29">
        <f t="shared" si="33"/>
        <v>2.0979375</v>
      </c>
      <c r="S27" s="29">
        <f t="shared" si="33"/>
        <v>1.9745294117647059</v>
      </c>
      <c r="T27" s="29">
        <f t="shared" si="33"/>
        <v>1.8648333333333333</v>
      </c>
      <c r="U27" s="29">
        <f t="shared" si="33"/>
        <v>1.7666842105263159</v>
      </c>
      <c r="V27" s="29">
        <f t="shared" si="33"/>
        <v>1.67835</v>
      </c>
      <c r="W27" s="29">
        <f t="shared" si="33"/>
        <v>1.5984285714285715</v>
      </c>
      <c r="X27" s="29">
        <f t="shared" si="33"/>
        <v>1.5257727272727273</v>
      </c>
      <c r="Y27" s="29">
        <f t="shared" si="33"/>
        <v>1.4594347826086957</v>
      </c>
    </row>
    <row r="28" spans="1:25" x14ac:dyDescent="0.25">
      <c r="A28" s="77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6.875</v>
      </c>
      <c r="E28" s="29">
        <f t="shared" si="31"/>
        <v>8.7166666666666668</v>
      </c>
      <c r="F28" s="29">
        <f t="shared" ref="F28:Y28" si="34" xml:space="preserve"> F22 / F$6</f>
        <v>8.1</v>
      </c>
      <c r="G28" s="29">
        <f t="shared" si="34"/>
        <v>7.08</v>
      </c>
      <c r="H28" s="29">
        <f t="shared" si="34"/>
        <v>5.8999999999999995</v>
      </c>
      <c r="I28" s="29">
        <f t="shared" si="34"/>
        <v>5.0571428571428569</v>
      </c>
      <c r="J28" s="29">
        <f t="shared" si="34"/>
        <v>4.4249999999999998</v>
      </c>
      <c r="K28" s="29">
        <f t="shared" si="34"/>
        <v>3.9333333333333331</v>
      </c>
      <c r="L28" s="29">
        <f t="shared" si="34"/>
        <v>3.54</v>
      </c>
      <c r="M28" s="51">
        <f t="shared" si="34"/>
        <v>3.2181818181818183</v>
      </c>
      <c r="N28" s="52">
        <f t="shared" si="34"/>
        <v>2.9499999999999997</v>
      </c>
      <c r="O28" s="29">
        <f t="shared" si="34"/>
        <v>2.7230769230769232</v>
      </c>
      <c r="P28" s="29">
        <f t="shared" si="34"/>
        <v>2.5285714285714285</v>
      </c>
      <c r="Q28" s="29">
        <f t="shared" si="34"/>
        <v>2.36</v>
      </c>
      <c r="R28" s="29">
        <f t="shared" si="34"/>
        <v>2.2124999999999999</v>
      </c>
      <c r="S28" s="29">
        <f t="shared" si="34"/>
        <v>2.0823529411764703</v>
      </c>
      <c r="T28" s="29">
        <f t="shared" si="34"/>
        <v>1.9666666666666666</v>
      </c>
      <c r="U28" s="29">
        <f t="shared" si="34"/>
        <v>1.8631578947368421</v>
      </c>
      <c r="V28" s="29">
        <f t="shared" si="34"/>
        <v>1.77</v>
      </c>
      <c r="W28" s="29">
        <f t="shared" si="34"/>
        <v>1.6857142857142857</v>
      </c>
      <c r="X28" s="29">
        <f t="shared" si="34"/>
        <v>1.6090909090909091</v>
      </c>
      <c r="Y28" s="29">
        <f t="shared" si="34"/>
        <v>1.5391304347826087</v>
      </c>
    </row>
    <row r="29" spans="1:25" ht="15.75" x14ac:dyDescent="0.25">
      <c r="A29" s="77"/>
      <c r="B29" s="9" t="s">
        <v>30</v>
      </c>
      <c r="C29" s="30">
        <f t="shared" si="31"/>
        <v>5.91</v>
      </c>
      <c r="D29" s="30">
        <f t="shared" si="31"/>
        <v>11.455</v>
      </c>
      <c r="E29" s="30">
        <f t="shared" si="31"/>
        <v>13.936666666666667</v>
      </c>
      <c r="F29" s="30">
        <f t="shared" ref="F29:Y29" si="35" xml:space="preserve"> F23 / F$6</f>
        <v>13.14</v>
      </c>
      <c r="G29" s="30">
        <f t="shared" si="35"/>
        <v>12.612</v>
      </c>
      <c r="H29" s="30">
        <f t="shared" si="35"/>
        <v>12.521166666666668</v>
      </c>
      <c r="I29" s="30">
        <f t="shared" si="35"/>
        <v>14.732857142857144</v>
      </c>
      <c r="J29" s="30">
        <f t="shared" si="35"/>
        <v>16.391249999999999</v>
      </c>
      <c r="K29" s="30">
        <f t="shared" si="35"/>
        <v>17.014444444444443</v>
      </c>
      <c r="L29" s="30">
        <f t="shared" si="35"/>
        <v>15.312999999999999</v>
      </c>
      <c r="M29" s="53">
        <f t="shared" si="35"/>
        <v>13.92090909090909</v>
      </c>
      <c r="N29" s="54">
        <f t="shared" si="35"/>
        <v>12.760833333333332</v>
      </c>
      <c r="O29" s="30">
        <f t="shared" si="35"/>
        <v>11.779230769230768</v>
      </c>
      <c r="P29" s="30">
        <f t="shared" si="35"/>
        <v>10.937857142857142</v>
      </c>
      <c r="Q29" s="30">
        <f t="shared" si="35"/>
        <v>10.208666666666666</v>
      </c>
      <c r="R29" s="30">
        <f t="shared" si="35"/>
        <v>9.5706249999999997</v>
      </c>
      <c r="S29" s="30">
        <f t="shared" si="35"/>
        <v>9.0076470588235296</v>
      </c>
      <c r="T29" s="30">
        <f t="shared" si="35"/>
        <v>8.5072222222222216</v>
      </c>
      <c r="U29" s="30">
        <f t="shared" si="35"/>
        <v>8.0594736842105252</v>
      </c>
      <c r="V29" s="30">
        <f t="shared" si="35"/>
        <v>7.6564999999999994</v>
      </c>
      <c r="W29" s="30">
        <f t="shared" si="35"/>
        <v>7.2919047619047621</v>
      </c>
      <c r="X29" s="30">
        <f t="shared" si="35"/>
        <v>6.960454545454545</v>
      </c>
      <c r="Y29" s="30">
        <f t="shared" si="35"/>
        <v>6.6578260869565211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60">
        <v>0</v>
      </c>
      <c r="J6" s="61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4">
        <f t="shared" si="2"/>
        <v>2</v>
      </c>
      <c r="J12" s="65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4">
        <f t="shared" si="2"/>
        <v>3</v>
      </c>
      <c r="Q12" s="65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2">
        <f t="shared" si="6"/>
        <v>3</v>
      </c>
      <c r="J16" s="63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2">
        <f t="shared" si="6"/>
        <v>6.25</v>
      </c>
      <c r="Q16" s="63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60">
        <v>0</v>
      </c>
      <c r="Q18" s="67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2">
        <f t="shared" si="7"/>
        <v>2.5</v>
      </c>
      <c r="Q22" s="63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4">
        <f t="shared" si="9"/>
        <v>4</v>
      </c>
      <c r="Q24" s="65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2">
        <f t="shared" si="16"/>
        <v>16.66</v>
      </c>
      <c r="Q28" s="63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4">
        <f t="shared" si="17"/>
        <v>0.2857142857142857</v>
      </c>
      <c r="J30" s="65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4">
        <f t="shared" si="17"/>
        <v>0.5</v>
      </c>
      <c r="Q30" s="65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2">
        <f t="shared" si="21"/>
        <v>0.84428571428571431</v>
      </c>
      <c r="J34" s="63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2">
        <f t="shared" si="21"/>
        <v>1.6364285714285713</v>
      </c>
      <c r="Q34" s="63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1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1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1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4">
        <f t="shared" si="2"/>
        <v>1</v>
      </c>
      <c r="J12" s="65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4">
        <f t="shared" si="2"/>
        <v>6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2">
        <f t="shared" si="6"/>
        <v>4.5</v>
      </c>
      <c r="J16" s="63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2">
        <f t="shared" si="6"/>
        <v>12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1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2.5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1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9.25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4">
        <f t="shared" si="13"/>
        <v>0.14285714285714285</v>
      </c>
      <c r="J30" s="65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4">
        <f t="shared" si="13"/>
        <v>0.5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2">
        <f t="shared" si="17"/>
        <v>1.5357142857142858</v>
      </c>
      <c r="J34" s="63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2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zoomScalePageLayoutView="115" workbookViewId="0">
      <selection activeCell="C9" sqref="C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1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60">
        <v>5.5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1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60">
        <v>4.0030000000000001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1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2">
        <f t="shared" si="1"/>
        <v>6.0670000000000002</v>
      </c>
      <c r="J10" s="63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2">
        <f t="shared" si="1"/>
        <v>9.5030000000000001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4">
        <f t="shared" si="2"/>
        <v>5</v>
      </c>
      <c r="J12" s="65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4">
        <f t="shared" si="2"/>
        <v>15.5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4">
        <f t="shared" si="3"/>
        <v>2</v>
      </c>
      <c r="J13" s="65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4">
        <f t="shared" si="3"/>
        <v>14.003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5.0670000000000002</v>
      </c>
      <c r="J14" s="65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4">
        <f t="shared" si="4"/>
        <v>10.567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2">
        <f t="shared" si="6"/>
        <v>12.067</v>
      </c>
      <c r="J16" s="63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2">
        <f t="shared" si="6"/>
        <v>40.07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4">
        <f t="shared" si="13"/>
        <v>0.7142857142857143</v>
      </c>
      <c r="J30" s="65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4">
        <f t="shared" si="13"/>
        <v>1.1071428571428572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4">
        <f t="shared" si="14"/>
        <v>0.2857142857142857</v>
      </c>
      <c r="J31" s="65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4">
        <f t="shared" si="14"/>
        <v>1.0002142857142857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0.72385714285714287</v>
      </c>
      <c r="J32" s="65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4">
        <f t="shared" si="15"/>
        <v>0.75478571428571428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2">
        <f t="shared" si="17"/>
        <v>1.7238571428571428</v>
      </c>
      <c r="J34" s="63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2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C34" zoomScale="115" zoomScaleNormal="115" zoomScalePageLayoutView="115" workbookViewId="0">
      <selection activeCell="Q14" sqref="Q1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1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60">
        <v>2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1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60">
        <v>3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1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2">
        <f t="shared" si="1"/>
        <v>9</v>
      </c>
      <c r="J10" s="63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2">
        <f t="shared" si="1"/>
        <v>5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4">
        <f t="shared" si="2"/>
        <v>11</v>
      </c>
      <c r="J12" s="65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4">
        <f t="shared" si="2"/>
        <v>20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4">
        <f t="shared" si="3"/>
        <v>11</v>
      </c>
      <c r="J13" s="65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4">
        <f t="shared" si="3"/>
        <v>19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4">
        <f t="shared" si="4"/>
        <v>6</v>
      </c>
      <c r="J14" s="65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4">
        <f t="shared" si="4"/>
        <v>11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2">
        <f t="shared" si="6"/>
        <v>28</v>
      </c>
      <c r="J16" s="63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2">
        <f t="shared" si="6"/>
        <v>50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4">
        <f t="shared" si="13"/>
        <v>1.5714285714285714</v>
      </c>
      <c r="J30" s="65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4">
        <f t="shared" si="13"/>
        <v>1.4285714285714286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4">
        <f t="shared" si="14"/>
        <v>1.5714285714285714</v>
      </c>
      <c r="J31" s="65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4">
        <f t="shared" si="14"/>
        <v>1.3571428571428572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4">
        <f t="shared" si="15"/>
        <v>0.8571428571428571</v>
      </c>
      <c r="J32" s="65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4">
        <f t="shared" si="15"/>
        <v>0.7857142857142857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2">
        <f t="shared" si="17"/>
        <v>4</v>
      </c>
      <c r="J34" s="63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2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0" sqref="C40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2015-11-16T18:20:37Z</dcterms:modified>
</cp:coreProperties>
</file>
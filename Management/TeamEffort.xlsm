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autoCompressPictures="0" defaultThemeVersion="124226"/>
  <bookViews>
    <workbookView xWindow="13635" yWindow="-21615" windowWidth="38400" windowHeight="21135" tabRatio="695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2" l="1"/>
  <c r="C4" i="43"/>
  <c r="B2" i="43"/>
  <c r="B2" i="42"/>
  <c r="C4" i="42"/>
  <c r="C4" i="15"/>
  <c r="D4" i="42"/>
  <c r="F8" i="1"/>
  <c r="F9" i="1"/>
  <c r="F10" i="1"/>
  <c r="B9" i="43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0" i="1"/>
  <c r="N11" i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K17" i="1"/>
  <c r="J13" i="1"/>
  <c r="J17" i="1"/>
  <c r="J8" i="1"/>
  <c r="K8" i="1"/>
  <c r="J9" i="1"/>
  <c r="K9" i="1"/>
  <c r="J10" i="1"/>
  <c r="K10" i="1"/>
  <c r="K7" i="1"/>
  <c r="J7" i="1"/>
  <c r="H14" i="1"/>
  <c r="I14" i="1"/>
  <c r="H15" i="1"/>
  <c r="I15" i="1"/>
  <c r="H16" i="1"/>
  <c r="H13" i="1"/>
  <c r="H17" i="1"/>
  <c r="I16" i="1"/>
  <c r="I13" i="1"/>
  <c r="H8" i="1"/>
  <c r="I8" i="1"/>
  <c r="H9" i="1"/>
  <c r="I9" i="1"/>
  <c r="I7" i="1"/>
  <c r="I10" i="1"/>
  <c r="I11" i="1"/>
  <c r="H10" i="1"/>
  <c r="H7" i="1"/>
  <c r="H11" i="1"/>
  <c r="F14" i="1"/>
  <c r="G14" i="1"/>
  <c r="F15" i="1"/>
  <c r="G15" i="1"/>
  <c r="G13" i="1"/>
  <c r="G16" i="1"/>
  <c r="G17" i="1"/>
  <c r="F16" i="1"/>
  <c r="F13" i="1"/>
  <c r="F17" i="1"/>
  <c r="G8" i="1"/>
  <c r="G9" i="1"/>
  <c r="G10" i="1"/>
  <c r="G7" i="1"/>
  <c r="F7" i="1"/>
  <c r="C14" i="1"/>
  <c r="D14" i="1"/>
  <c r="E14" i="1"/>
  <c r="C15" i="1"/>
  <c r="D15" i="1"/>
  <c r="E15" i="1"/>
  <c r="E13" i="1"/>
  <c r="E16" i="1"/>
  <c r="E17" i="1"/>
  <c r="C16" i="1"/>
  <c r="C13" i="1"/>
  <c r="C17" i="1"/>
  <c r="D16" i="1"/>
  <c r="D13" i="1"/>
  <c r="E8" i="1"/>
  <c r="E9" i="1"/>
  <c r="E10" i="1"/>
  <c r="E7" i="1"/>
  <c r="D8" i="1"/>
  <c r="D9" i="1"/>
  <c r="D10" i="1"/>
  <c r="D7" i="1"/>
  <c r="C8" i="1"/>
  <c r="C20" i="1"/>
  <c r="D20" i="1"/>
  <c r="E20" i="1"/>
  <c r="C9" i="1"/>
  <c r="C21" i="1"/>
  <c r="C10" i="1"/>
  <c r="C22" i="1"/>
  <c r="C7" i="1"/>
  <c r="C19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C4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C4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C4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C4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C4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C4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C4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C26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D19" i="1"/>
  <c r="E19" i="1"/>
  <c r="F19" i="1"/>
  <c r="G19" i="1"/>
  <c r="H19" i="1"/>
  <c r="C31" i="43"/>
  <c r="C31" i="49"/>
  <c r="C30" i="50"/>
  <c r="C16" i="50"/>
  <c r="C31" i="45"/>
  <c r="C31" i="47"/>
  <c r="C16" i="42"/>
  <c r="C33" i="42"/>
  <c r="C16" i="43"/>
  <c r="C32" i="45"/>
  <c r="C28" i="46"/>
  <c r="D17" i="1"/>
  <c r="D22" i="1"/>
  <c r="E22" i="1"/>
  <c r="D21" i="1"/>
  <c r="E21" i="1"/>
  <c r="V17" i="1"/>
  <c r="R17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G11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<sst xmlns="http://schemas.openxmlformats.org/spreadsheetml/2006/main" count="294" uniqueCount="52">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</sst>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3" xfId="0" applyNumberFormat="1" applyBorder="1"/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13.75</c:v>
                </c:pt>
                <c:pt idx="2">
                  <c:v>12.4</c:v>
                </c:pt>
                <c:pt idx="3">
                  <c:v>6.25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3</c:v>
                </c:pt>
                <c:pt idx="1">
                  <c:v>3.25</c:v>
                </c:pt>
                <c:pt idx="2">
                  <c:v>6.5</c:v>
                </c:pt>
                <c:pt idx="3">
                  <c:v>4.5</c:v>
                </c:pt>
                <c:pt idx="4">
                  <c:v>7.5</c:v>
                </c:pt>
                <c:pt idx="5">
                  <c:v>12.067</c:v>
                </c:pt>
                <c:pt idx="6">
                  <c:v>28.003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692960"/>
        <c:axId val="172869350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5.91</c:v>
                </c:pt>
                <c:pt idx="1">
                  <c:v>11.455</c:v>
                </c:pt>
                <c:pt idx="2">
                  <c:v>13.936666666666667</c:v>
                </c:pt>
                <c:pt idx="3">
                  <c:v>13.14</c:v>
                </c:pt>
                <c:pt idx="4">
                  <c:v>12.612</c:v>
                </c:pt>
                <c:pt idx="5">
                  <c:v>12.521166666666668</c:v>
                </c:pt>
                <c:pt idx="6">
                  <c:v>14.732857142857144</c:v>
                </c:pt>
                <c:pt idx="7">
                  <c:v>12.891250000000001</c:v>
                </c:pt>
                <c:pt idx="8">
                  <c:v>11.45888888888889</c:v>
                </c:pt>
                <c:pt idx="9">
                  <c:v>10.313000000000001</c:v>
                </c:pt>
                <c:pt idx="10">
                  <c:v>9.3754545454545468</c:v>
                </c:pt>
                <c:pt idx="11">
                  <c:v>8.5941666666666681</c:v>
                </c:pt>
                <c:pt idx="12">
                  <c:v>7.933076923076924</c:v>
                </c:pt>
                <c:pt idx="13">
                  <c:v>7.366428571428572</c:v>
                </c:pt>
                <c:pt idx="14">
                  <c:v>6.8753333333333337</c:v>
                </c:pt>
                <c:pt idx="15">
                  <c:v>6.4456250000000006</c:v>
                </c:pt>
                <c:pt idx="16">
                  <c:v>6.0664705882352949</c:v>
                </c:pt>
                <c:pt idx="17">
                  <c:v>5.7294444444444448</c:v>
                </c:pt>
                <c:pt idx="18">
                  <c:v>5.4278947368421058</c:v>
                </c:pt>
                <c:pt idx="19">
                  <c:v>5.1565000000000003</c:v>
                </c:pt>
                <c:pt idx="20">
                  <c:v>4.9109523809523816</c:v>
                </c:pt>
                <c:pt idx="21">
                  <c:v>4.6877272727272734</c:v>
                </c:pt>
                <c:pt idx="22">
                  <c:v>4.4839130434782613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692960"/>
        <c:axId val="1728693504"/>
      </c:lineChart>
      <c:catAx>
        <c:axId val="1728692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93504"/>
        <c:crosses val="autoZero"/>
        <c:auto val="0"/>
        <c:lblAlgn val="ctr"/>
        <c:lblOffset val="100"/>
        <c:noMultiLvlLbl val="0"/>
      </c:catAx>
      <c:valAx>
        <c:axId val="172869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9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4</c:v>
                </c:pt>
                <c:pt idx="2">
                  <c:v>3.5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10.5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697856"/>
        <c:axId val="172868371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2</c:v>
                </c:pt>
                <c:pt idx="1">
                  <c:v>5.75</c:v>
                </c:pt>
                <c:pt idx="2">
                  <c:v>5.8</c:v>
                </c:pt>
                <c:pt idx="3">
                  <c:v>6.0374999999999996</c:v>
                </c:pt>
                <c:pt idx="4">
                  <c:v>6.13</c:v>
                </c:pt>
                <c:pt idx="5">
                  <c:v>5.9416666666666664</c:v>
                </c:pt>
                <c:pt idx="6">
                  <c:v>6.5928571428571425</c:v>
                </c:pt>
                <c:pt idx="7">
                  <c:v>5.7687499999999998</c:v>
                </c:pt>
                <c:pt idx="8">
                  <c:v>5.1277777777777773</c:v>
                </c:pt>
                <c:pt idx="9">
                  <c:v>4.6150000000000002</c:v>
                </c:pt>
                <c:pt idx="10">
                  <c:v>4.1954545454545453</c:v>
                </c:pt>
                <c:pt idx="11">
                  <c:v>3.8458333333333332</c:v>
                </c:pt>
                <c:pt idx="12">
                  <c:v>3.55</c:v>
                </c:pt>
                <c:pt idx="13">
                  <c:v>3.2964285714285713</c:v>
                </c:pt>
                <c:pt idx="14">
                  <c:v>3.0766666666666667</c:v>
                </c:pt>
                <c:pt idx="15">
                  <c:v>2.8843749999999999</c:v>
                </c:pt>
                <c:pt idx="16">
                  <c:v>2.7147058823529413</c:v>
                </c:pt>
                <c:pt idx="17">
                  <c:v>2.5638888888888887</c:v>
                </c:pt>
                <c:pt idx="18">
                  <c:v>2.4289473684210527</c:v>
                </c:pt>
                <c:pt idx="19">
                  <c:v>2.3075000000000001</c:v>
                </c:pt>
                <c:pt idx="20">
                  <c:v>2.1976190476190474</c:v>
                </c:pt>
                <c:pt idx="21">
                  <c:v>2.0977272727272727</c:v>
                </c:pt>
                <c:pt idx="22">
                  <c:v>2.0065217391304349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697856"/>
        <c:axId val="1728683712"/>
      </c:lineChart>
      <c:catAx>
        <c:axId val="1728697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83712"/>
        <c:crosses val="autoZero"/>
        <c:auto val="0"/>
        <c:lblAlgn val="ctr"/>
        <c:lblOffset val="100"/>
        <c:noMultiLvlLbl val="0"/>
      </c:catAx>
      <c:valAx>
        <c:axId val="1728683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978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4.9000000000000004</c:v>
                </c:pt>
                <c:pt idx="3">
                  <c:v>5.75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1.5</c:v>
                </c:pt>
                <c:pt idx="5">
                  <c:v>2</c:v>
                </c:pt>
                <c:pt idx="6">
                  <c:v>12.003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688608"/>
        <c:axId val="172868588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2.2050000000000001</c:v>
                </c:pt>
                <c:pt idx="2">
                  <c:v>2.97</c:v>
                </c:pt>
                <c:pt idx="3">
                  <c:v>2.4775</c:v>
                </c:pt>
                <c:pt idx="4">
                  <c:v>2.3820000000000001</c:v>
                </c:pt>
                <c:pt idx="5">
                  <c:v>2.3183333333333334</c:v>
                </c:pt>
                <c:pt idx="6">
                  <c:v>3.701857142857143</c:v>
                </c:pt>
                <c:pt idx="7">
                  <c:v>3.239125</c:v>
                </c:pt>
                <c:pt idx="8">
                  <c:v>2.8792222222222223</c:v>
                </c:pt>
                <c:pt idx="9">
                  <c:v>2.5912999999999999</c:v>
                </c:pt>
                <c:pt idx="10">
                  <c:v>2.3557272727272727</c:v>
                </c:pt>
                <c:pt idx="11">
                  <c:v>2.1594166666666665</c:v>
                </c:pt>
                <c:pt idx="12">
                  <c:v>1.9933076923076922</c:v>
                </c:pt>
                <c:pt idx="13">
                  <c:v>1.8509285714285715</c:v>
                </c:pt>
                <c:pt idx="14">
                  <c:v>1.7275333333333334</c:v>
                </c:pt>
                <c:pt idx="15">
                  <c:v>1.6195625</c:v>
                </c:pt>
                <c:pt idx="16">
                  <c:v>1.5242941176470588</c:v>
                </c:pt>
                <c:pt idx="17">
                  <c:v>1.4396111111111112</c:v>
                </c:pt>
                <c:pt idx="18">
                  <c:v>1.363842105263158</c:v>
                </c:pt>
                <c:pt idx="19">
                  <c:v>1.29565</c:v>
                </c:pt>
                <c:pt idx="20">
                  <c:v>1.2339523809523809</c:v>
                </c:pt>
                <c:pt idx="21">
                  <c:v>1.1778636363636363</c:v>
                </c:pt>
                <c:pt idx="22">
                  <c:v>1.1266521739130435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688608"/>
        <c:axId val="1728685888"/>
      </c:lineChart>
      <c:catAx>
        <c:axId val="1728688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85888"/>
        <c:crosses val="autoZero"/>
        <c:auto val="0"/>
        <c:lblAlgn val="ctr"/>
        <c:lblOffset val="100"/>
        <c:noMultiLvlLbl val="0"/>
      </c:catAx>
      <c:valAx>
        <c:axId val="1728685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88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</c:v>
                </c:pt>
                <c:pt idx="1">
                  <c:v>1.75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5.0670000000000002</c:v>
                </c:pt>
                <c:pt idx="6">
                  <c:v>5.5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686976"/>
        <c:axId val="172869731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1.5</c:v>
                </c:pt>
                <c:pt idx="2">
                  <c:v>2.6666666666666665</c:v>
                </c:pt>
                <c:pt idx="3">
                  <c:v>2.75</c:v>
                </c:pt>
                <c:pt idx="4">
                  <c:v>2.4</c:v>
                </c:pt>
                <c:pt idx="5">
                  <c:v>2.8445</c:v>
                </c:pt>
                <c:pt idx="6">
                  <c:v>3.2238571428571428</c:v>
                </c:pt>
                <c:pt idx="7">
                  <c:v>2.820875</c:v>
                </c:pt>
                <c:pt idx="8">
                  <c:v>2.5074444444444444</c:v>
                </c:pt>
                <c:pt idx="9">
                  <c:v>2.2566999999999999</c:v>
                </c:pt>
                <c:pt idx="10">
                  <c:v>2.0515454545454546</c:v>
                </c:pt>
                <c:pt idx="11">
                  <c:v>1.8805833333333333</c:v>
                </c:pt>
                <c:pt idx="12">
                  <c:v>1.7359230769230769</c:v>
                </c:pt>
                <c:pt idx="13">
                  <c:v>1.6119285714285714</c:v>
                </c:pt>
                <c:pt idx="14">
                  <c:v>1.5044666666666666</c:v>
                </c:pt>
                <c:pt idx="15">
                  <c:v>1.4104375</c:v>
                </c:pt>
                <c:pt idx="16">
                  <c:v>1.3274705882352942</c:v>
                </c:pt>
                <c:pt idx="17">
                  <c:v>1.2537222222222222</c:v>
                </c:pt>
                <c:pt idx="18">
                  <c:v>1.1877368421052632</c:v>
                </c:pt>
                <c:pt idx="19">
                  <c:v>1.12835</c:v>
                </c:pt>
                <c:pt idx="20">
                  <c:v>1.0746190476190476</c:v>
                </c:pt>
                <c:pt idx="21">
                  <c:v>1.0257727272727273</c:v>
                </c:pt>
                <c:pt idx="22">
                  <c:v>0.98117391304347823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686976"/>
        <c:axId val="1728697312"/>
      </c:lineChart>
      <c:catAx>
        <c:axId val="1728686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97312"/>
        <c:crosses val="autoZero"/>
        <c:auto val="0"/>
        <c:lblAlgn val="ctr"/>
        <c:lblOffset val="100"/>
        <c:noMultiLvlLbl val="0"/>
      </c:catAx>
      <c:valAx>
        <c:axId val="17286973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869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687520"/>
        <c:axId val="172869024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</c:v>
                </c:pt>
                <c:pt idx="1">
                  <c:v>6.875</c:v>
                </c:pt>
                <c:pt idx="2">
                  <c:v>8.7166666666666668</c:v>
                </c:pt>
                <c:pt idx="3">
                  <c:v>8.1</c:v>
                </c:pt>
                <c:pt idx="4">
                  <c:v>7.08</c:v>
                </c:pt>
                <c:pt idx="5">
                  <c:v>5.8999999999999995</c:v>
                </c:pt>
                <c:pt idx="6">
                  <c:v>5.0571428571428569</c:v>
                </c:pt>
                <c:pt idx="7">
                  <c:v>4.4249999999999998</c:v>
                </c:pt>
                <c:pt idx="8">
                  <c:v>3.9333333333333331</c:v>
                </c:pt>
                <c:pt idx="9">
                  <c:v>3.54</c:v>
                </c:pt>
                <c:pt idx="10">
                  <c:v>3.2181818181818183</c:v>
                </c:pt>
                <c:pt idx="11">
                  <c:v>2.9499999999999997</c:v>
                </c:pt>
                <c:pt idx="12">
                  <c:v>2.7230769230769232</c:v>
                </c:pt>
                <c:pt idx="13">
                  <c:v>2.5285714285714285</c:v>
                </c:pt>
                <c:pt idx="14">
                  <c:v>2.36</c:v>
                </c:pt>
                <c:pt idx="15">
                  <c:v>2.2124999999999999</c:v>
                </c:pt>
                <c:pt idx="16">
                  <c:v>2.0823529411764703</c:v>
                </c:pt>
                <c:pt idx="17">
                  <c:v>1.9666666666666666</c:v>
                </c:pt>
                <c:pt idx="18">
                  <c:v>1.8631578947368421</c:v>
                </c:pt>
                <c:pt idx="19">
                  <c:v>1.77</c:v>
                </c:pt>
                <c:pt idx="20">
                  <c:v>1.6857142857142857</c:v>
                </c:pt>
                <c:pt idx="21">
                  <c:v>1.6090909090909091</c:v>
                </c:pt>
                <c:pt idx="22">
                  <c:v>1.5391304347826087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687520"/>
        <c:axId val="1728690240"/>
      </c:lineChart>
      <c:catAx>
        <c:axId val="1728687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90240"/>
        <c:crosses val="autoZero"/>
        <c:auto val="0"/>
        <c:lblAlgn val="ctr"/>
        <c:lblOffset val="100"/>
        <c:noMultiLvlLbl val="0"/>
      </c:catAx>
      <c:valAx>
        <c:axId val="1728690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875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0.58000000000000007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3</c:v>
                </c:pt>
                <c:pt idx="10">
                  <c:v>3.75</c:v>
                </c:pt>
                <c:pt idx="11">
                  <c:v>2</c:v>
                </c:pt>
                <c:pt idx="12">
                  <c:v>0</c:v>
                </c:pt>
                <c:pt idx="13">
                  <c:v>2.5</c:v>
                </c:pt>
                <c:pt idx="14">
                  <c:v>3.4</c:v>
                </c:pt>
                <c:pt idx="15">
                  <c:v>2.5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3.5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1.5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695136"/>
        <c:axId val="172868806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0.29000000000000004</c:v>
                </c:pt>
                <c:pt idx="2">
                  <c:v>0.52666666666666673</c:v>
                </c:pt>
                <c:pt idx="3">
                  <c:v>1.4775</c:v>
                </c:pt>
                <c:pt idx="4">
                  <c:v>1.1819999999999999</c:v>
                </c:pt>
                <c:pt idx="5">
                  <c:v>0.98499999999999999</c:v>
                </c:pt>
                <c:pt idx="6">
                  <c:v>0.84428571428571431</c:v>
                </c:pt>
                <c:pt idx="7">
                  <c:v>0.73875000000000002</c:v>
                </c:pt>
                <c:pt idx="8">
                  <c:v>1.1566666666666667</c:v>
                </c:pt>
                <c:pt idx="9">
                  <c:v>1.4410000000000001</c:v>
                </c:pt>
                <c:pt idx="10">
                  <c:v>1.6736363636363638</c:v>
                </c:pt>
                <c:pt idx="11">
                  <c:v>1.7008333333333334</c:v>
                </c:pt>
                <c:pt idx="12">
                  <c:v>1.57</c:v>
                </c:pt>
                <c:pt idx="13">
                  <c:v>1.6364285714285713</c:v>
                </c:pt>
                <c:pt idx="14">
                  <c:v>1.954</c:v>
                </c:pt>
                <c:pt idx="15">
                  <c:v>2.0818750000000001</c:v>
                </c:pt>
                <c:pt idx="16">
                  <c:v>2.0770588235294118</c:v>
                </c:pt>
                <c:pt idx="17">
                  <c:v>2.1005555555555557</c:v>
                </c:pt>
                <c:pt idx="18">
                  <c:v>1.9900000000000002</c:v>
                </c:pt>
                <c:pt idx="19">
                  <c:v>2.0905</c:v>
                </c:pt>
                <c:pt idx="20">
                  <c:v>1.9909523809523813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695136"/>
        <c:axId val="1728688064"/>
      </c:lineChart>
      <c:catAx>
        <c:axId val="1728695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88064"/>
        <c:crosses val="autoZero"/>
        <c:auto val="1"/>
        <c:lblAlgn val="ctr"/>
        <c:lblOffset val="100"/>
        <c:noMultiLvlLbl val="1"/>
      </c:catAx>
      <c:valAx>
        <c:axId val="172868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9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691328"/>
        <c:axId val="172868480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0.45454545454545453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  <c:pt idx="14">
                  <c:v>0.5</c:v>
                </c:pt>
                <c:pt idx="15">
                  <c:v>0.53125</c:v>
                </c:pt>
                <c:pt idx="16">
                  <c:v>0.5</c:v>
                </c:pt>
                <c:pt idx="17">
                  <c:v>0.47222222222222221</c:v>
                </c:pt>
                <c:pt idx="18">
                  <c:v>0.44736842105263158</c:v>
                </c:pt>
                <c:pt idx="19">
                  <c:v>0.57499999999999996</c:v>
                </c:pt>
                <c:pt idx="20">
                  <c:v>0.54761904761904767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691328"/>
        <c:axId val="1728684800"/>
      </c:lineChart>
      <c:catAx>
        <c:axId val="1728691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84800"/>
        <c:crosses val="autoZero"/>
        <c:auto val="1"/>
        <c:lblAlgn val="ctr"/>
        <c:lblOffset val="100"/>
        <c:noMultiLvlLbl val="1"/>
      </c:catAx>
      <c:valAx>
        <c:axId val="17286848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913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0.33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2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698400"/>
        <c:axId val="173010691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0.16500000000000001</c:v>
                </c:pt>
                <c:pt idx="2">
                  <c:v>0.44333333333333336</c:v>
                </c:pt>
                <c:pt idx="3">
                  <c:v>0.66500000000000004</c:v>
                </c:pt>
                <c:pt idx="4">
                  <c:v>0.53200000000000003</c:v>
                </c:pt>
                <c:pt idx="5">
                  <c:v>0.44333333333333336</c:v>
                </c:pt>
                <c:pt idx="6">
                  <c:v>0.38</c:v>
                </c:pt>
                <c:pt idx="7">
                  <c:v>0.33250000000000002</c:v>
                </c:pt>
                <c:pt idx="8">
                  <c:v>0.62888888888888894</c:v>
                </c:pt>
                <c:pt idx="9">
                  <c:v>0.76600000000000001</c:v>
                </c:pt>
                <c:pt idx="10">
                  <c:v>0.83272727272727276</c:v>
                </c:pt>
                <c:pt idx="11">
                  <c:v>0.76333333333333331</c:v>
                </c:pt>
                <c:pt idx="12">
                  <c:v>0.70461538461538464</c:v>
                </c:pt>
                <c:pt idx="13">
                  <c:v>0.83285714285714285</c:v>
                </c:pt>
                <c:pt idx="14">
                  <c:v>0.90400000000000003</c:v>
                </c:pt>
                <c:pt idx="15">
                  <c:v>0.91</c:v>
                </c:pt>
                <c:pt idx="16">
                  <c:v>0.91529411764705881</c:v>
                </c:pt>
                <c:pt idx="17">
                  <c:v>0.94777777777777794</c:v>
                </c:pt>
                <c:pt idx="18">
                  <c:v>0.89789473684210541</c:v>
                </c:pt>
                <c:pt idx="19">
                  <c:v>0.85300000000000009</c:v>
                </c:pt>
                <c:pt idx="20">
                  <c:v>0.81238095238095254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698400"/>
        <c:axId val="1730106912"/>
      </c:lineChart>
      <c:catAx>
        <c:axId val="172869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106912"/>
        <c:crosses val="autoZero"/>
        <c:auto val="1"/>
        <c:lblAlgn val="ctr"/>
        <c:lblOffset val="100"/>
        <c:noMultiLvlLbl val="1"/>
      </c:catAx>
      <c:valAx>
        <c:axId val="17301069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984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0105280"/>
        <c:axId val="173010310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8.3333333333333329E-2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0.20833333333333334</c:v>
                </c:pt>
                <c:pt idx="6">
                  <c:v>0.17857142857142858</c:v>
                </c:pt>
                <c:pt idx="7">
                  <c:v>0.15625</c:v>
                </c:pt>
                <c:pt idx="8">
                  <c:v>0.19444444444444445</c:v>
                </c:pt>
                <c:pt idx="9">
                  <c:v>0.375</c:v>
                </c:pt>
                <c:pt idx="10">
                  <c:v>0.38636363636363635</c:v>
                </c:pt>
                <c:pt idx="11">
                  <c:v>0.35416666666666669</c:v>
                </c:pt>
                <c:pt idx="12">
                  <c:v>0.32692307692307693</c:v>
                </c:pt>
                <c:pt idx="13">
                  <c:v>0.30357142857142855</c:v>
                </c:pt>
                <c:pt idx="14">
                  <c:v>0.55000000000000004</c:v>
                </c:pt>
                <c:pt idx="15">
                  <c:v>0.640625</c:v>
                </c:pt>
                <c:pt idx="16">
                  <c:v>0.66176470588235292</c:v>
                </c:pt>
                <c:pt idx="17">
                  <c:v>0.68055555555555558</c:v>
                </c:pt>
                <c:pt idx="18">
                  <c:v>0.64473684210526316</c:v>
                </c:pt>
                <c:pt idx="19">
                  <c:v>0.66249999999999998</c:v>
                </c:pt>
                <c:pt idx="20">
                  <c:v>0.63095238095238093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105280"/>
        <c:axId val="1730103104"/>
      </c:lineChart>
      <c:catAx>
        <c:axId val="17301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103104"/>
        <c:crosses val="autoZero"/>
        <c:auto val="1"/>
        <c:lblAlgn val="ctr"/>
        <c:lblOffset val="100"/>
        <c:noMultiLvlLbl val="1"/>
      </c:catAx>
      <c:valAx>
        <c:axId val="1730103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1052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0112896"/>
        <c:axId val="173010256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112896"/>
        <c:axId val="1730102560"/>
      </c:lineChart>
      <c:catAx>
        <c:axId val="1730112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102560"/>
        <c:crosses val="autoZero"/>
        <c:auto val="1"/>
        <c:lblAlgn val="ctr"/>
        <c:lblOffset val="100"/>
        <c:noMultiLvlLbl val="1"/>
      </c:catAx>
      <c:valAx>
        <c:axId val="17301025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1128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0113440"/>
        <c:axId val="1730111808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</c:v>
                </c:pt>
                <c:pt idx="1">
                  <c:v>3.125</c:v>
                </c:pt>
                <c:pt idx="2">
                  <c:v>2.0833333333333335</c:v>
                </c:pt>
                <c:pt idx="3">
                  <c:v>1.8125</c:v>
                </c:pt>
                <c:pt idx="4">
                  <c:v>1.45</c:v>
                </c:pt>
                <c:pt idx="5">
                  <c:v>1.2083333333333333</c:v>
                </c:pt>
                <c:pt idx="6">
                  <c:v>1.5357142857142858</c:v>
                </c:pt>
                <c:pt idx="7">
                  <c:v>1.90625</c:v>
                </c:pt>
                <c:pt idx="8">
                  <c:v>1.9166666666666665</c:v>
                </c:pt>
                <c:pt idx="9">
                  <c:v>1.7749999999999999</c:v>
                </c:pt>
                <c:pt idx="10">
                  <c:v>1.6136363636363638</c:v>
                </c:pt>
                <c:pt idx="11">
                  <c:v>1.4791666666666667</c:v>
                </c:pt>
                <c:pt idx="12">
                  <c:v>1.3653846153846154</c:v>
                </c:pt>
                <c:pt idx="13">
                  <c:v>1.5178571428571428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113440"/>
        <c:axId val="1730111808"/>
      </c:lineChart>
      <c:catAx>
        <c:axId val="1730113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111808"/>
        <c:crosses val="autoZero"/>
        <c:auto val="0"/>
        <c:lblAlgn val="ctr"/>
        <c:lblOffset val="100"/>
        <c:noMultiLvlLbl val="1"/>
      </c:catAx>
      <c:valAx>
        <c:axId val="173011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11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4.5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0105824"/>
        <c:axId val="173011670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0.6875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105824"/>
        <c:axId val="1730116704"/>
      </c:lineChart>
      <c:catAx>
        <c:axId val="1730105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116704"/>
        <c:crosses val="autoZero"/>
        <c:auto val="1"/>
        <c:lblAlgn val="ctr"/>
        <c:lblOffset val="100"/>
        <c:noMultiLvlLbl val="1"/>
      </c:catAx>
      <c:valAx>
        <c:axId val="1730116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1058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0108000"/>
        <c:axId val="173011235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1.1499999999999999</c:v>
                </c:pt>
                <c:pt idx="5">
                  <c:v>0.95833333333333337</c:v>
                </c:pt>
                <c:pt idx="6">
                  <c:v>0.8928571428571429</c:v>
                </c:pt>
                <c:pt idx="7">
                  <c:v>0.78125</c:v>
                </c:pt>
                <c:pt idx="8">
                  <c:v>0.86111111111111116</c:v>
                </c:pt>
                <c:pt idx="9">
                  <c:v>0.77500000000000002</c:v>
                </c:pt>
                <c:pt idx="10">
                  <c:v>0.70454545454545459</c:v>
                </c:pt>
                <c:pt idx="11">
                  <c:v>0.64583333333333337</c:v>
                </c:pt>
                <c:pt idx="12">
                  <c:v>0.59615384615384615</c:v>
                </c:pt>
                <c:pt idx="13">
                  <c:v>0.6607142857142857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108000"/>
        <c:axId val="1730112352"/>
      </c:lineChart>
      <c:catAx>
        <c:axId val="1730108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112352"/>
        <c:crosses val="autoZero"/>
        <c:auto val="1"/>
        <c:lblAlgn val="ctr"/>
        <c:lblOffset val="100"/>
        <c:noMultiLvlLbl val="1"/>
      </c:catAx>
      <c:valAx>
        <c:axId val="1730112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1080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0109088"/>
        <c:axId val="173011398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</c:v>
                </c:pt>
                <c:pt idx="5">
                  <c:v>8.3333333333333329E-2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0.3888888888888889</c:v>
                </c:pt>
                <c:pt idx="9">
                  <c:v>0.4</c:v>
                </c:pt>
                <c:pt idx="10">
                  <c:v>0.36363636363636365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0.35714285714285715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109088"/>
        <c:axId val="1730113984"/>
      </c:lineChart>
      <c:catAx>
        <c:axId val="1730109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113984"/>
        <c:crosses val="autoZero"/>
        <c:auto val="1"/>
        <c:lblAlgn val="ctr"/>
        <c:lblOffset val="100"/>
        <c:noMultiLvlLbl val="1"/>
      </c:catAx>
      <c:valAx>
        <c:axId val="1730113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1090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0110176"/>
        <c:axId val="173011072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110176"/>
        <c:axId val="1730110720"/>
      </c:lineChart>
      <c:catAx>
        <c:axId val="1730110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110720"/>
        <c:crosses val="autoZero"/>
        <c:auto val="1"/>
        <c:lblAlgn val="ctr"/>
        <c:lblOffset val="100"/>
        <c:noMultiLvlLbl val="1"/>
      </c:catAx>
      <c:valAx>
        <c:axId val="17301107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1101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2</c:v>
                </c:pt>
                <c:pt idx="6">
                  <c:v>6.0670000000000002</c:v>
                </c:pt>
                <c:pt idx="7">
                  <c:v>7.0170000000000003</c:v>
                </c:pt>
                <c:pt idx="8">
                  <c:v>6.4829999999999997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9.5030000000000001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0584896"/>
        <c:axId val="1730574560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1</c:v>
                </c:pt>
                <c:pt idx="6">
                  <c:v>1.7238571428571428</c:v>
                </c:pt>
                <c:pt idx="7">
                  <c:v>2.3855</c:v>
                </c:pt>
                <c:pt idx="8">
                  <c:v>2.8407777777777778</c:v>
                </c:pt>
                <c:pt idx="9">
                  <c:v>2.5567000000000002</c:v>
                </c:pt>
                <c:pt idx="10">
                  <c:v>2.597</c:v>
                </c:pt>
                <c:pt idx="11">
                  <c:v>2.3805833333333335</c:v>
                </c:pt>
                <c:pt idx="12">
                  <c:v>2.3513076923076923</c:v>
                </c:pt>
                <c:pt idx="13">
                  <c:v>2.8621428571428571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584896"/>
        <c:axId val="1730574560"/>
      </c:lineChart>
      <c:catAx>
        <c:axId val="1730584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574560"/>
        <c:crosses val="autoZero"/>
        <c:auto val="0"/>
        <c:lblAlgn val="ctr"/>
        <c:lblOffset val="100"/>
        <c:noMultiLvlLbl val="1"/>
      </c:catAx>
      <c:valAx>
        <c:axId val="173057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58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0</c:v>
                </c:pt>
                <c:pt idx="6">
                  <c:v>1</c:v>
                </c:pt>
                <c:pt idx="7">
                  <c:v>4.5170000000000003</c:v>
                </c:pt>
                <c:pt idx="8">
                  <c:v>0.48299999999999998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0586528"/>
        <c:axId val="173058435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0.66666666666666663</c:v>
                </c:pt>
                <c:pt idx="6">
                  <c:v>0.7142857142857143</c:v>
                </c:pt>
                <c:pt idx="7">
                  <c:v>1.1896249999999999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1.1071428571428572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586528"/>
        <c:axId val="1730584352"/>
      </c:lineChart>
      <c:catAx>
        <c:axId val="1730586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584352"/>
        <c:crosses val="autoZero"/>
        <c:auto val="1"/>
        <c:lblAlgn val="ctr"/>
        <c:lblOffset val="100"/>
        <c:noMultiLvlLbl val="1"/>
      </c:catAx>
      <c:valAx>
        <c:axId val="1730584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5865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0572928"/>
        <c:axId val="173058000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1.0002142857142857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572928"/>
        <c:axId val="1730580000"/>
      </c:lineChart>
      <c:catAx>
        <c:axId val="1730572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580000"/>
        <c:crosses val="autoZero"/>
        <c:auto val="1"/>
        <c:lblAlgn val="ctr"/>
        <c:lblOffset val="100"/>
        <c:noMultiLvlLbl val="1"/>
      </c:catAx>
      <c:valAx>
        <c:axId val="17305800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572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5.0670000000000002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0582720"/>
        <c:axId val="173057782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0.72385714285714287</c:v>
                </c:pt>
                <c:pt idx="7">
                  <c:v>0.69587500000000002</c:v>
                </c:pt>
                <c:pt idx="8">
                  <c:v>0.61855555555555553</c:v>
                </c:pt>
                <c:pt idx="9">
                  <c:v>0.55669999999999997</c:v>
                </c:pt>
                <c:pt idx="10">
                  <c:v>0.77881818181818185</c:v>
                </c:pt>
                <c:pt idx="11">
                  <c:v>0.71391666666666664</c:v>
                </c:pt>
                <c:pt idx="12">
                  <c:v>0.81284615384615388</c:v>
                </c:pt>
                <c:pt idx="13">
                  <c:v>0.75478571428571428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582720"/>
        <c:axId val="1730577824"/>
      </c:lineChart>
      <c:catAx>
        <c:axId val="1730582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577824"/>
        <c:crosses val="autoZero"/>
        <c:auto val="1"/>
        <c:lblAlgn val="ctr"/>
        <c:lblOffset val="100"/>
        <c:noMultiLvlLbl val="1"/>
      </c:catAx>
      <c:valAx>
        <c:axId val="17305778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5827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0583264"/>
        <c:axId val="173057510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583264"/>
        <c:axId val="1730575104"/>
      </c:lineChart>
      <c:catAx>
        <c:axId val="1730583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575104"/>
        <c:crosses val="autoZero"/>
        <c:auto val="1"/>
        <c:lblAlgn val="ctr"/>
        <c:lblOffset val="100"/>
        <c:noMultiLvlLbl val="1"/>
      </c:catAx>
      <c:valAx>
        <c:axId val="1730575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5832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0572384"/>
        <c:axId val="1730573472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572384"/>
        <c:axId val="1730573472"/>
      </c:lineChart>
      <c:catAx>
        <c:axId val="1730572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573472"/>
        <c:crosses val="autoZero"/>
        <c:auto val="0"/>
        <c:lblAlgn val="ctr"/>
        <c:lblOffset val="100"/>
        <c:noMultiLvlLbl val="1"/>
      </c:catAx>
      <c:valAx>
        <c:axId val="173057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572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0576736"/>
        <c:axId val="173057836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576736"/>
        <c:axId val="1730578368"/>
      </c:lineChart>
      <c:catAx>
        <c:axId val="1730576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578368"/>
        <c:crosses val="autoZero"/>
        <c:auto val="1"/>
        <c:lblAlgn val="ctr"/>
        <c:lblOffset val="100"/>
        <c:noMultiLvlLbl val="1"/>
      </c:catAx>
      <c:valAx>
        <c:axId val="1730578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5767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1711104"/>
        <c:axId val="173172524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1711104"/>
        <c:axId val="1731725248"/>
      </c:lineChart>
      <c:catAx>
        <c:axId val="1731711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725248"/>
        <c:crosses val="autoZero"/>
        <c:auto val="1"/>
        <c:lblAlgn val="ctr"/>
        <c:lblOffset val="100"/>
        <c:noMultiLvlLbl val="1"/>
      </c:catAx>
      <c:valAx>
        <c:axId val="1731725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7111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1711648"/>
        <c:axId val="1731723616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1711648"/>
        <c:axId val="1731723616"/>
      </c:lineChart>
      <c:catAx>
        <c:axId val="1731711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723616"/>
        <c:crosses val="autoZero"/>
        <c:auto val="1"/>
        <c:lblAlgn val="ctr"/>
        <c:lblOffset val="100"/>
        <c:noMultiLvlLbl val="1"/>
      </c:catAx>
      <c:valAx>
        <c:axId val="17317236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7116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1720896"/>
        <c:axId val="173171382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1720896"/>
        <c:axId val="1731713824"/>
      </c:lineChart>
      <c:catAx>
        <c:axId val="1731720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713824"/>
        <c:crosses val="autoZero"/>
        <c:auto val="1"/>
        <c:lblAlgn val="ctr"/>
        <c:lblOffset val="100"/>
        <c:noMultiLvlLbl val="1"/>
      </c:catAx>
      <c:valAx>
        <c:axId val="17317138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7208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1712736"/>
        <c:axId val="1731724160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1712736"/>
        <c:axId val="1731724160"/>
      </c:lineChart>
      <c:catAx>
        <c:axId val="1731712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724160"/>
        <c:crosses val="autoZero"/>
        <c:auto val="0"/>
        <c:lblAlgn val="ctr"/>
        <c:lblOffset val="100"/>
        <c:noMultiLvlLbl val="1"/>
      </c:catAx>
      <c:valAx>
        <c:axId val="173172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71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1714912"/>
        <c:axId val="173171654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1714912"/>
        <c:axId val="1731716544"/>
      </c:lineChart>
      <c:catAx>
        <c:axId val="1731714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716544"/>
        <c:crosses val="autoZero"/>
        <c:auto val="1"/>
        <c:lblAlgn val="ctr"/>
        <c:lblOffset val="100"/>
        <c:noMultiLvlLbl val="1"/>
      </c:catAx>
      <c:valAx>
        <c:axId val="1731716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714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1715456"/>
        <c:axId val="173171708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1715456"/>
        <c:axId val="1731717088"/>
      </c:lineChart>
      <c:catAx>
        <c:axId val="1731715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717088"/>
        <c:crosses val="autoZero"/>
        <c:auto val="1"/>
        <c:lblAlgn val="ctr"/>
        <c:lblOffset val="100"/>
        <c:noMultiLvlLbl val="1"/>
      </c:catAx>
      <c:valAx>
        <c:axId val="1731717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7154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1721984"/>
        <c:axId val="173171763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1721984"/>
        <c:axId val="1731717632"/>
      </c:lineChart>
      <c:catAx>
        <c:axId val="1731721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717632"/>
        <c:crosses val="autoZero"/>
        <c:auto val="1"/>
        <c:lblAlgn val="ctr"/>
        <c:lblOffset val="100"/>
        <c:noMultiLvlLbl val="1"/>
      </c:catAx>
      <c:valAx>
        <c:axId val="17317176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721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3463888"/>
        <c:axId val="173346062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463888"/>
        <c:axId val="1733460624"/>
      </c:lineChart>
      <c:catAx>
        <c:axId val="1733463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460624"/>
        <c:crosses val="autoZero"/>
        <c:auto val="1"/>
        <c:lblAlgn val="ctr"/>
        <c:lblOffset val="100"/>
        <c:noMultiLvlLbl val="1"/>
      </c:catAx>
      <c:valAx>
        <c:axId val="17334606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4638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3458448"/>
        <c:axId val="1733461168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458448"/>
        <c:axId val="1733461168"/>
      </c:lineChart>
      <c:catAx>
        <c:axId val="1733458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461168"/>
        <c:crosses val="autoZero"/>
        <c:auto val="0"/>
        <c:lblAlgn val="ctr"/>
        <c:lblOffset val="100"/>
        <c:noMultiLvlLbl val="1"/>
      </c:catAx>
      <c:valAx>
        <c:axId val="173346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45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3467152"/>
        <c:axId val="173346443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467152"/>
        <c:axId val="1733464432"/>
      </c:lineChart>
      <c:catAx>
        <c:axId val="1733467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464432"/>
        <c:crosses val="autoZero"/>
        <c:auto val="1"/>
        <c:lblAlgn val="ctr"/>
        <c:lblOffset val="100"/>
        <c:noMultiLvlLbl val="1"/>
      </c:catAx>
      <c:valAx>
        <c:axId val="17334644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4671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3457360"/>
        <c:axId val="173345518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457360"/>
        <c:axId val="1733455184"/>
      </c:lineChart>
      <c:catAx>
        <c:axId val="1733457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455184"/>
        <c:crosses val="autoZero"/>
        <c:auto val="1"/>
        <c:lblAlgn val="ctr"/>
        <c:lblOffset val="100"/>
        <c:noMultiLvlLbl val="1"/>
      </c:catAx>
      <c:valAx>
        <c:axId val="17334551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4573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3453552"/>
        <c:axId val="173346225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453552"/>
        <c:axId val="1733462256"/>
      </c:lineChart>
      <c:catAx>
        <c:axId val="1733453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462256"/>
        <c:crosses val="autoZero"/>
        <c:auto val="1"/>
        <c:lblAlgn val="ctr"/>
        <c:lblOffset val="100"/>
        <c:noMultiLvlLbl val="1"/>
      </c:catAx>
      <c:valAx>
        <c:axId val="17334622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4535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3462800"/>
        <c:axId val="173345409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462800"/>
        <c:axId val="1733454096"/>
      </c:lineChart>
      <c:catAx>
        <c:axId val="1733462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454096"/>
        <c:crosses val="autoZero"/>
        <c:auto val="1"/>
        <c:lblAlgn val="ctr"/>
        <c:lblOffset val="100"/>
        <c:noMultiLvlLbl val="1"/>
      </c:catAx>
      <c:valAx>
        <c:axId val="17334540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4628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3463344"/>
        <c:axId val="1733456816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463344"/>
        <c:axId val="1733456816"/>
      </c:lineChart>
      <c:catAx>
        <c:axId val="173346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456816"/>
        <c:crosses val="autoZero"/>
        <c:auto val="0"/>
        <c:lblAlgn val="ctr"/>
        <c:lblOffset val="100"/>
        <c:noMultiLvlLbl val="1"/>
      </c:catAx>
      <c:valAx>
        <c:axId val="173345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46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3466064"/>
        <c:axId val="173477625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466064"/>
        <c:axId val="1734776256"/>
      </c:lineChart>
      <c:catAx>
        <c:axId val="1733466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76256"/>
        <c:crosses val="autoZero"/>
        <c:auto val="1"/>
        <c:lblAlgn val="ctr"/>
        <c:lblOffset val="100"/>
        <c:noMultiLvlLbl val="1"/>
      </c:catAx>
      <c:valAx>
        <c:axId val="17347762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4660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4776800"/>
        <c:axId val="173477734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776800"/>
        <c:axId val="1734777344"/>
      </c:lineChart>
      <c:catAx>
        <c:axId val="1734776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77344"/>
        <c:crosses val="autoZero"/>
        <c:auto val="1"/>
        <c:lblAlgn val="ctr"/>
        <c:lblOffset val="100"/>
        <c:noMultiLvlLbl val="1"/>
      </c:catAx>
      <c:valAx>
        <c:axId val="17347773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768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4781696"/>
        <c:axId val="173478332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781696"/>
        <c:axId val="1734783328"/>
      </c:lineChart>
      <c:catAx>
        <c:axId val="1734781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83328"/>
        <c:crosses val="autoZero"/>
        <c:auto val="1"/>
        <c:lblAlgn val="ctr"/>
        <c:lblOffset val="100"/>
        <c:noMultiLvlLbl val="1"/>
      </c:catAx>
      <c:valAx>
        <c:axId val="17347833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816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4772448"/>
        <c:axId val="173477571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772448"/>
        <c:axId val="1734775712"/>
      </c:lineChart>
      <c:catAx>
        <c:axId val="173477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75712"/>
        <c:crosses val="autoZero"/>
        <c:auto val="1"/>
        <c:lblAlgn val="ctr"/>
        <c:lblOffset val="100"/>
        <c:noMultiLvlLbl val="1"/>
      </c:catAx>
      <c:valAx>
        <c:axId val="1734775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724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4770816"/>
        <c:axId val="1734785504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770816"/>
        <c:axId val="1734785504"/>
      </c:lineChart>
      <c:catAx>
        <c:axId val="1734770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85504"/>
        <c:crosses val="autoZero"/>
        <c:auto val="0"/>
        <c:lblAlgn val="ctr"/>
        <c:lblOffset val="100"/>
        <c:noMultiLvlLbl val="1"/>
      </c:catAx>
      <c:valAx>
        <c:axId val="173478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7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4778432"/>
        <c:axId val="173477952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778432"/>
        <c:axId val="1734779520"/>
      </c:lineChart>
      <c:catAx>
        <c:axId val="1734778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79520"/>
        <c:crosses val="autoZero"/>
        <c:auto val="1"/>
        <c:lblAlgn val="ctr"/>
        <c:lblOffset val="100"/>
        <c:noMultiLvlLbl val="1"/>
      </c:catAx>
      <c:valAx>
        <c:axId val="17347795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784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4773536"/>
        <c:axId val="173478006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773536"/>
        <c:axId val="1734780064"/>
      </c:lineChart>
      <c:catAx>
        <c:axId val="1734773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80064"/>
        <c:crosses val="autoZero"/>
        <c:auto val="1"/>
        <c:lblAlgn val="ctr"/>
        <c:lblOffset val="100"/>
        <c:noMultiLvlLbl val="1"/>
      </c:catAx>
      <c:valAx>
        <c:axId val="1734780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735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4784416"/>
        <c:axId val="173478278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784416"/>
        <c:axId val="1734782784"/>
      </c:lineChart>
      <c:catAx>
        <c:axId val="1734784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82784"/>
        <c:crosses val="autoZero"/>
        <c:auto val="1"/>
        <c:lblAlgn val="ctr"/>
        <c:lblOffset val="100"/>
        <c:noMultiLvlLbl val="1"/>
      </c:catAx>
      <c:valAx>
        <c:axId val="1734782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844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458080"/>
        <c:axId val="174343196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458080"/>
        <c:axId val="1743431968"/>
      </c:lineChart>
      <c:catAx>
        <c:axId val="1743458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31968"/>
        <c:crosses val="autoZero"/>
        <c:auto val="1"/>
        <c:lblAlgn val="ctr"/>
        <c:lblOffset val="100"/>
        <c:noMultiLvlLbl val="1"/>
      </c:catAx>
      <c:valAx>
        <c:axId val="1743431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580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458624"/>
        <c:axId val="1743432512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458624"/>
        <c:axId val="1743432512"/>
      </c:lineChart>
      <c:catAx>
        <c:axId val="1743458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32512"/>
        <c:crosses val="autoZero"/>
        <c:auto val="0"/>
        <c:lblAlgn val="ctr"/>
        <c:lblOffset val="100"/>
        <c:noMultiLvlLbl val="1"/>
      </c:catAx>
      <c:valAx>
        <c:axId val="174343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5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452096"/>
        <c:axId val="174345100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452096"/>
        <c:axId val="1743451008"/>
      </c:lineChart>
      <c:catAx>
        <c:axId val="1743452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51008"/>
        <c:crosses val="autoZero"/>
        <c:auto val="1"/>
        <c:lblAlgn val="ctr"/>
        <c:lblOffset val="100"/>
        <c:noMultiLvlLbl val="1"/>
      </c:catAx>
      <c:valAx>
        <c:axId val="1743451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520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454272"/>
        <c:axId val="174345155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454272"/>
        <c:axId val="1743451552"/>
      </c:lineChart>
      <c:catAx>
        <c:axId val="174345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51552"/>
        <c:crosses val="autoZero"/>
        <c:auto val="1"/>
        <c:lblAlgn val="ctr"/>
        <c:lblOffset val="100"/>
        <c:noMultiLvlLbl val="1"/>
      </c:catAx>
      <c:valAx>
        <c:axId val="17434515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54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449376"/>
        <c:axId val="174343795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449376"/>
        <c:axId val="1743437952"/>
      </c:lineChart>
      <c:catAx>
        <c:axId val="1743449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37952"/>
        <c:crosses val="autoZero"/>
        <c:auto val="1"/>
        <c:lblAlgn val="ctr"/>
        <c:lblOffset val="100"/>
        <c:noMultiLvlLbl val="1"/>
      </c:catAx>
      <c:valAx>
        <c:axId val="17434379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493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453184"/>
        <c:axId val="174343904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453184"/>
        <c:axId val="1743439040"/>
      </c:lineChart>
      <c:catAx>
        <c:axId val="174345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39040"/>
        <c:crosses val="autoZero"/>
        <c:auto val="1"/>
        <c:lblAlgn val="ctr"/>
        <c:lblOffset val="100"/>
        <c:noMultiLvlLbl val="1"/>
      </c:catAx>
      <c:valAx>
        <c:axId val="1743439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531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449920"/>
        <c:axId val="1743455360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449920"/>
        <c:axId val="1743455360"/>
      </c:lineChart>
      <c:catAx>
        <c:axId val="1743449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55360"/>
        <c:crosses val="autoZero"/>
        <c:auto val="0"/>
        <c:lblAlgn val="ctr"/>
        <c:lblOffset val="100"/>
        <c:noMultiLvlLbl val="1"/>
      </c:catAx>
      <c:valAx>
        <c:axId val="174345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4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461344"/>
        <c:axId val="1743452640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461344"/>
        <c:axId val="1743452640"/>
      </c:lineChart>
      <c:catAx>
        <c:axId val="1743461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52640"/>
        <c:crosses val="autoZero"/>
        <c:auto val="1"/>
        <c:lblAlgn val="ctr"/>
        <c:lblOffset val="100"/>
        <c:noMultiLvlLbl val="1"/>
      </c:catAx>
      <c:valAx>
        <c:axId val="17434526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613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439584"/>
        <c:axId val="174344774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439584"/>
        <c:axId val="1743447744"/>
      </c:lineChart>
      <c:catAx>
        <c:axId val="1743439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47744"/>
        <c:crosses val="autoZero"/>
        <c:auto val="1"/>
        <c:lblAlgn val="ctr"/>
        <c:lblOffset val="100"/>
        <c:noMultiLvlLbl val="1"/>
      </c:catAx>
      <c:valAx>
        <c:axId val="17434477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395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442848"/>
        <c:axId val="174343468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442848"/>
        <c:axId val="1743434688"/>
      </c:lineChart>
      <c:catAx>
        <c:axId val="1743442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34688"/>
        <c:crosses val="autoZero"/>
        <c:auto val="1"/>
        <c:lblAlgn val="ctr"/>
        <c:lblOffset val="100"/>
        <c:noMultiLvlLbl val="1"/>
      </c:catAx>
      <c:valAx>
        <c:axId val="17434346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428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456992"/>
        <c:axId val="174345753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456992"/>
        <c:axId val="1743457536"/>
      </c:lineChart>
      <c:catAx>
        <c:axId val="1743456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57536"/>
        <c:crosses val="autoZero"/>
        <c:auto val="1"/>
        <c:lblAlgn val="ctr"/>
        <c:lblOffset val="100"/>
        <c:noMultiLvlLbl val="1"/>
      </c:catAx>
      <c:valAx>
        <c:axId val="1743457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569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435232"/>
        <c:axId val="1743460800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435232"/>
        <c:axId val="1743460800"/>
      </c:lineChart>
      <c:catAx>
        <c:axId val="1743435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60800"/>
        <c:crosses val="autoZero"/>
        <c:auto val="0"/>
        <c:lblAlgn val="ctr"/>
        <c:lblOffset val="100"/>
        <c:noMultiLvlLbl val="1"/>
      </c:catAx>
      <c:valAx>
        <c:axId val="174346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3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437408"/>
        <c:axId val="174343033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437408"/>
        <c:axId val="1743430336"/>
      </c:lineChart>
      <c:catAx>
        <c:axId val="1743437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30336"/>
        <c:crosses val="autoZero"/>
        <c:auto val="1"/>
        <c:lblAlgn val="ctr"/>
        <c:lblOffset val="100"/>
        <c:noMultiLvlLbl val="1"/>
      </c:catAx>
      <c:valAx>
        <c:axId val="17434303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374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440672"/>
        <c:axId val="174344121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440672"/>
        <c:axId val="1743441216"/>
      </c:lineChart>
      <c:catAx>
        <c:axId val="1743440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41216"/>
        <c:crosses val="autoZero"/>
        <c:auto val="1"/>
        <c:lblAlgn val="ctr"/>
        <c:lblOffset val="100"/>
        <c:noMultiLvlLbl val="1"/>
      </c:catAx>
      <c:valAx>
        <c:axId val="1743441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406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443392"/>
        <c:axId val="174344556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443392"/>
        <c:axId val="1743445568"/>
      </c:lineChart>
      <c:catAx>
        <c:axId val="1743443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45568"/>
        <c:crosses val="autoZero"/>
        <c:auto val="1"/>
        <c:lblAlgn val="ctr"/>
        <c:lblOffset val="100"/>
        <c:noMultiLvlLbl val="1"/>
      </c:catAx>
      <c:valAx>
        <c:axId val="17434455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4433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5219328"/>
        <c:axId val="174522041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5219328"/>
        <c:axId val="1745220416"/>
      </c:lineChart>
      <c:catAx>
        <c:axId val="1745219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5220416"/>
        <c:crosses val="autoZero"/>
        <c:auto val="1"/>
        <c:lblAlgn val="ctr"/>
        <c:lblOffset val="100"/>
        <c:noMultiLvlLbl val="1"/>
      </c:catAx>
      <c:valAx>
        <c:axId val="1745220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52193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abSelected="1" topLeftCell="B4" workbookViewId="0">
      <selection activeCell="S32" sqref="S32"/>
    </sheetView>
  </sheetViews>
  <sheetFormatPr defaultColWidth="8.85546875"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70" t="s">
        <v>24</v>
      </c>
      <c r="D1" s="71"/>
      <c r="E1" s="71"/>
      <c r="F1" s="71"/>
      <c r="G1" s="71"/>
      <c r="H1" s="71"/>
      <c r="I1" s="71"/>
      <c r="J1" s="71"/>
      <c r="K1" s="71"/>
      <c r="L1" s="71"/>
      <c r="M1" s="71"/>
    </row>
    <row r="2" spans="1:25" s="10" customFormat="1" x14ac:dyDescent="0.25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1" t="s">
        <v>36</v>
      </c>
      <c r="C3" s="78" t="s">
        <v>22</v>
      </c>
      <c r="D3" s="79"/>
      <c r="E3" s="79"/>
      <c r="F3" s="79"/>
      <c r="G3" s="79"/>
      <c r="H3" s="79"/>
      <c r="I3" s="79"/>
      <c r="J3" s="79"/>
      <c r="K3" s="79"/>
      <c r="L3" s="79"/>
      <c r="M3" s="79"/>
      <c r="N3" s="79" t="s">
        <v>23</v>
      </c>
      <c r="O3" s="79"/>
      <c r="P3" s="79"/>
      <c r="Q3" s="79"/>
      <c r="R3" s="79"/>
      <c r="S3" s="79"/>
      <c r="T3" s="79"/>
      <c r="U3" s="79"/>
      <c r="V3" s="79"/>
      <c r="W3" s="79"/>
      <c r="X3" s="79"/>
      <c r="Y3" s="80"/>
    </row>
    <row r="4" spans="1:25" ht="15.75" x14ac:dyDescent="0.25">
      <c r="C4" s="75" t="s">
        <v>12</v>
      </c>
      <c r="D4" s="75"/>
      <c r="E4" s="75"/>
      <c r="F4" s="75" t="s">
        <v>11</v>
      </c>
      <c r="G4" s="75"/>
      <c r="H4" s="75" t="s">
        <v>13</v>
      </c>
      <c r="I4" s="75"/>
      <c r="J4" s="75" t="s">
        <v>14</v>
      </c>
      <c r="K4" s="75"/>
      <c r="L4" s="72" t="s">
        <v>15</v>
      </c>
      <c r="M4" s="73"/>
      <c r="N4" s="73" t="s">
        <v>16</v>
      </c>
      <c r="O4" s="74"/>
      <c r="P4" s="75" t="s">
        <v>17</v>
      </c>
      <c r="Q4" s="75"/>
      <c r="R4" s="75" t="s">
        <v>18</v>
      </c>
      <c r="S4" s="75"/>
      <c r="T4" s="75" t="s">
        <v>19</v>
      </c>
      <c r="U4" s="75"/>
      <c r="V4" s="75" t="s">
        <v>20</v>
      </c>
      <c r="W4" s="75"/>
      <c r="X4" s="75" t="s">
        <v>21</v>
      </c>
      <c r="Y4" s="75"/>
    </row>
    <row r="5" spans="1:25" s="6" customFormat="1" ht="12.75" x14ac:dyDescent="0.2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76" t="s">
        <v>44</v>
      </c>
      <c r="B7" s="8" t="str">
        <f xml:space="preserve"> CONCATENATE(Setup!$B$7, ", ", LEFT(Setup!$C$7,2))</f>
        <v>Nathan, NR</v>
      </c>
      <c r="C7" s="25">
        <f>SUM('Sprint 0'!C6:I6)</f>
        <v>2</v>
      </c>
      <c r="D7" s="25">
        <f>SUM('Sprint 0'!J6:P6)</f>
        <v>1</v>
      </c>
      <c r="E7" s="25">
        <f>SUM('Sprint 0'!Q6:W6)</f>
        <v>1</v>
      </c>
      <c r="F7" s="25">
        <f>SUM('Sprint 1'!C6:I6)</f>
        <v>1</v>
      </c>
      <c r="G7" s="25">
        <f>SUM('Sprint 1'!J6:P6)</f>
        <v>5</v>
      </c>
      <c r="H7" s="25">
        <f>SUM('Sprint 2'!C6:I6)</f>
        <v>5</v>
      </c>
      <c r="I7" s="25">
        <f>SUM('Sprint 2'!J6:P6)</f>
        <v>10.5</v>
      </c>
      <c r="J7" s="25">
        <f>SUM('Sprint 3'!C6:I6)</f>
        <v>0</v>
      </c>
      <c r="K7" s="25">
        <f>SUM('Sprint 3'!J6:P6)</f>
        <v>0</v>
      </c>
      <c r="L7" s="25">
        <f>SUM('Sprint 4'!C6:I6)</f>
        <v>0</v>
      </c>
      <c r="M7" s="25">
        <f>SUM('Sprint 4'!J6:P6)</f>
        <v>0</v>
      </c>
      <c r="N7" s="46">
        <f>SUM('Sprint 5'!C6:I6)</f>
        <v>0</v>
      </c>
      <c r="O7" s="22">
        <f>SUM('Sprint 5'!J6:P6)</f>
        <v>0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76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SUM('Sprint 1'!C7:I7)</f>
        <v>0.5</v>
      </c>
      <c r="G8" s="25">
        <f>SUM('Sprint 1'!J7:P7)</f>
        <v>1.5</v>
      </c>
      <c r="H8" s="25">
        <f>SUM('Sprint 2'!C7:I7)</f>
        <v>2</v>
      </c>
      <c r="I8" s="25">
        <f>SUM('Sprint 2'!J7:P7)</f>
        <v>12.003</v>
      </c>
      <c r="J8" s="25">
        <f>SUM('Sprint 3'!C7:I7)</f>
        <v>0</v>
      </c>
      <c r="K8" s="25">
        <f>SUM('Sprint 3'!J7:P7)</f>
        <v>0</v>
      </c>
      <c r="L8" s="25">
        <f>SUM('Sprint 4'!C7:I7)</f>
        <v>0</v>
      </c>
      <c r="M8" s="25">
        <f>SUM('Sprint 4'!J7:P7)</f>
        <v>0</v>
      </c>
      <c r="N8" s="46">
        <f>SUM('Sprint 5'!C7:I7)</f>
        <v>0</v>
      </c>
      <c r="O8" s="22">
        <f>SUM('Sprint 5'!J7:P7)</f>
        <v>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76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SUM('Sprint 1'!C8:I8)</f>
        <v>3</v>
      </c>
      <c r="G9" s="25">
        <f>SUM('Sprint 1'!J8:P8)</f>
        <v>1</v>
      </c>
      <c r="H9" s="25">
        <f>SUM('Sprint 2'!C8:I8)</f>
        <v>5.0670000000000002</v>
      </c>
      <c r="I9" s="25">
        <f>SUM('Sprint 2'!J8:P8)</f>
        <v>5.5</v>
      </c>
      <c r="J9" s="25">
        <f>SUM('Sprint 3'!C8:I8)</f>
        <v>0</v>
      </c>
      <c r="K9" s="25">
        <f>SUM('Sprint 3'!J8:P8)</f>
        <v>0</v>
      </c>
      <c r="L9" s="25">
        <f>SUM('Sprint 4'!C8:I8)</f>
        <v>0</v>
      </c>
      <c r="M9" s="25">
        <f>SUM('Sprint 4'!J8:P8)</f>
        <v>0</v>
      </c>
      <c r="N9" s="46">
        <f>SUM('Sprint 5'!C8:I8)</f>
        <v>0</v>
      </c>
      <c r="O9" s="22">
        <f>SUM('Sprint 5'!J8:P8)</f>
        <v>0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76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SUM('Sprint 1'!C9:I9)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6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76"/>
      <c r="B11" s="9" t="s">
        <v>30</v>
      </c>
      <c r="C11" s="21">
        <f xml:space="preserve"> SUM(C7:C10)</f>
        <v>3</v>
      </c>
      <c r="D11" s="21">
        <f t="shared" ref="D11:M11" si="2" xml:space="preserve"> SUM(D7:D10)</f>
        <v>3.25</v>
      </c>
      <c r="E11" s="21">
        <f t="shared" si="2"/>
        <v>6.5</v>
      </c>
      <c r="F11" s="21">
        <f t="shared" si="2"/>
        <v>4.5</v>
      </c>
      <c r="G11" s="21">
        <f t="shared" si="2"/>
        <v>7.5</v>
      </c>
      <c r="H11" s="21">
        <f t="shared" si="2"/>
        <v>12.067</v>
      </c>
      <c r="I11" s="21">
        <f t="shared" si="2"/>
        <v>28.003</v>
      </c>
      <c r="J11" s="21">
        <f t="shared" si="2"/>
        <v>0</v>
      </c>
      <c r="K11" s="21">
        <f t="shared" si="2"/>
        <v>0</v>
      </c>
      <c r="L11" s="21">
        <f t="shared" si="2"/>
        <v>0</v>
      </c>
      <c r="M11" s="21">
        <f t="shared" si="2"/>
        <v>0</v>
      </c>
      <c r="N11" s="48">
        <f>SUM(N7:N10)</f>
        <v>0</v>
      </c>
      <c r="O11" s="66">
        <f t="shared" ref="O11:Y11" si="3">SUM(O7:O10)</f>
        <v>0</v>
      </c>
      <c r="P11" s="66">
        <f t="shared" si="3"/>
        <v>0</v>
      </c>
      <c r="Q11" s="66">
        <f t="shared" si="3"/>
        <v>0</v>
      </c>
      <c r="R11" s="66">
        <f t="shared" si="3"/>
        <v>0</v>
      </c>
      <c r="S11" s="66">
        <f t="shared" si="3"/>
        <v>0</v>
      </c>
      <c r="T11" s="66">
        <f t="shared" si="3"/>
        <v>0</v>
      </c>
      <c r="U11" s="66">
        <f t="shared" si="3"/>
        <v>0</v>
      </c>
      <c r="V11" s="66">
        <f t="shared" si="3"/>
        <v>0</v>
      </c>
      <c r="W11" s="66">
        <f t="shared" si="3"/>
        <v>0</v>
      </c>
      <c r="X11" s="66">
        <f t="shared" si="3"/>
        <v>0</v>
      </c>
      <c r="Y11" s="66">
        <f t="shared" si="3"/>
        <v>0</v>
      </c>
    </row>
    <row r="12" spans="1:25" x14ac:dyDescent="0.25">
      <c r="A12" s="6"/>
      <c r="M12" s="49"/>
      <c r="N12" s="50"/>
    </row>
    <row r="13" spans="1:25" x14ac:dyDescent="0.25">
      <c r="A13" s="76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4</v>
      </c>
      <c r="E13" s="25">
        <f>SUM('Sprint 0'!Q18:W18)</f>
        <v>3.5</v>
      </c>
      <c r="F13" s="25">
        <f>SUM('Sprint 1'!C18:I18)</f>
        <v>0</v>
      </c>
      <c r="G13" s="25">
        <f>SUM('Sprint 1'!J18:P18)</f>
        <v>1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6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76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6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76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0</v>
      </c>
      <c r="M15" s="25">
        <f>SUM('Sprint 4'!J20:P20)</f>
        <v>0</v>
      </c>
      <c r="N15" s="46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76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6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76"/>
      <c r="B17" s="9" t="s">
        <v>30</v>
      </c>
      <c r="C17" s="21">
        <f xml:space="preserve"> SUM(C13:C16)</f>
        <v>2.91</v>
      </c>
      <c r="D17" s="21">
        <f t="shared" ref="D17" si="4" xml:space="preserve"> SUM(D13:D16)</f>
        <v>13.75</v>
      </c>
      <c r="E17" s="21">
        <f t="shared" ref="E17" si="5" xml:space="preserve"> SUM(E13:E16)</f>
        <v>12.4</v>
      </c>
      <c r="F17" s="21">
        <f t="shared" ref="F17" si="6" xml:space="preserve"> SUM(F13:F16)</f>
        <v>6.25</v>
      </c>
      <c r="G17" s="21">
        <f t="shared" ref="G17" si="7" xml:space="preserve"> SUM(G13:G16)</f>
        <v>3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8">
        <f>SUM(N13:N16)</f>
        <v>0</v>
      </c>
      <c r="O17" s="66">
        <f t="shared" ref="O17" si="14">SUM(O13:O16)</f>
        <v>0</v>
      </c>
      <c r="P17" s="66">
        <f t="shared" ref="P17" si="15">SUM(P13:P16)</f>
        <v>0</v>
      </c>
      <c r="Q17" s="66">
        <f t="shared" ref="Q17" si="16">SUM(Q13:Q16)</f>
        <v>0</v>
      </c>
      <c r="R17" s="66">
        <f t="shared" ref="R17" si="17">SUM(R13:R16)</f>
        <v>0</v>
      </c>
      <c r="S17" s="66">
        <f t="shared" ref="S17" si="18">SUM(S13:S16)</f>
        <v>0</v>
      </c>
      <c r="T17" s="66">
        <f t="shared" ref="T17" si="19">SUM(T13:T16)</f>
        <v>0</v>
      </c>
      <c r="U17" s="66">
        <f t="shared" ref="U17" si="20">SUM(U13:U16)</f>
        <v>0</v>
      </c>
      <c r="V17" s="66">
        <f t="shared" ref="V17" si="21">SUM(V13:V16)</f>
        <v>0</v>
      </c>
      <c r="W17" s="66">
        <f t="shared" ref="W17" si="22">SUM(W13:W16)</f>
        <v>0</v>
      </c>
      <c r="X17" s="66">
        <f t="shared" ref="X17" si="23">SUM(X13:X16)</f>
        <v>0</v>
      </c>
      <c r="Y17" s="66">
        <f t="shared" ref="Y17" si="24">SUM(Y13:Y16)</f>
        <v>0</v>
      </c>
    </row>
    <row r="18" spans="1:25" x14ac:dyDescent="0.25">
      <c r="M18" s="49"/>
      <c r="N18" s="50"/>
    </row>
    <row r="19" spans="1:25" x14ac:dyDescent="0.25">
      <c r="A19" s="77" t="s">
        <v>39</v>
      </c>
      <c r="B19" s="8" t="str">
        <f xml:space="preserve"> CONCATENATE(Setup!$B$7, ", ", LEFT(Setup!$C$7,2))</f>
        <v>Nathan, NR</v>
      </c>
      <c r="C19" s="25">
        <f xml:space="preserve"> C7 + C13</f>
        <v>2</v>
      </c>
      <c r="D19" s="25">
        <f xml:space="preserve"> C19 + D7 + D14</f>
        <v>11.5</v>
      </c>
      <c r="E19" s="25">
        <f t="shared" ref="E19:Y22" si="25" xml:space="preserve"> D19 + E7 + E14</f>
        <v>17.399999999999999</v>
      </c>
      <c r="F19" s="25">
        <f t="shared" si="25"/>
        <v>24.15</v>
      </c>
      <c r="G19" s="25">
        <f t="shared" si="25"/>
        <v>30.65</v>
      </c>
      <c r="H19" s="25">
        <f t="shared" si="25"/>
        <v>35.65</v>
      </c>
      <c r="I19" s="25">
        <f t="shared" si="25"/>
        <v>46.15</v>
      </c>
      <c r="J19" s="25">
        <f t="shared" si="25"/>
        <v>46.15</v>
      </c>
      <c r="K19" s="25">
        <f t="shared" si="25"/>
        <v>46.15</v>
      </c>
      <c r="L19" s="25">
        <f t="shared" si="25"/>
        <v>46.15</v>
      </c>
      <c r="M19" s="45">
        <f t="shared" si="25"/>
        <v>46.15</v>
      </c>
      <c r="N19" s="46">
        <f t="shared" si="25"/>
        <v>46.15</v>
      </c>
      <c r="O19" s="25">
        <f t="shared" si="25"/>
        <v>46.15</v>
      </c>
      <c r="P19" s="25">
        <f t="shared" si="25"/>
        <v>46.15</v>
      </c>
      <c r="Q19" s="25">
        <f t="shared" si="25"/>
        <v>46.15</v>
      </c>
      <c r="R19" s="25">
        <f t="shared" si="25"/>
        <v>46.15</v>
      </c>
      <c r="S19" s="25">
        <f t="shared" si="25"/>
        <v>46.15</v>
      </c>
      <c r="T19" s="25">
        <f t="shared" si="25"/>
        <v>46.15</v>
      </c>
      <c r="U19" s="25">
        <f t="shared" si="25"/>
        <v>46.15</v>
      </c>
      <c r="V19" s="25">
        <f t="shared" si="25"/>
        <v>46.15</v>
      </c>
      <c r="W19" s="25">
        <f t="shared" si="25"/>
        <v>46.15</v>
      </c>
      <c r="X19" s="25">
        <f t="shared" si="25"/>
        <v>46.15</v>
      </c>
      <c r="Y19" s="25">
        <f t="shared" si="25"/>
        <v>46.15</v>
      </c>
    </row>
    <row r="20" spans="1:25" x14ac:dyDescent="0.25">
      <c r="A20" s="77"/>
      <c r="B20" s="8" t="str">
        <f xml:space="preserve"> CONCATENATE(Setup!$B$8, ", ", LEFT(Setup!$C$8,2))</f>
        <v>Spencer, SS</v>
      </c>
      <c r="C20" s="25">
        <f t="shared" ref="C20:C22" si="26" xml:space="preserve"> C8 + C14</f>
        <v>2.66</v>
      </c>
      <c r="D20" s="25">
        <f t="shared" ref="D20:S22" si="27" xml:space="preserve"> C20 + D8 + D15</f>
        <v>4.41</v>
      </c>
      <c r="E20" s="25">
        <f t="shared" si="27"/>
        <v>8.91</v>
      </c>
      <c r="F20" s="25">
        <f t="shared" si="27"/>
        <v>9.91</v>
      </c>
      <c r="G20" s="25">
        <f t="shared" si="27"/>
        <v>11.91</v>
      </c>
      <c r="H20" s="25">
        <f t="shared" si="27"/>
        <v>13.91</v>
      </c>
      <c r="I20" s="25">
        <f t="shared" si="27"/>
        <v>25.913</v>
      </c>
      <c r="J20" s="25">
        <f t="shared" si="27"/>
        <v>25.913</v>
      </c>
      <c r="K20" s="25">
        <f t="shared" si="27"/>
        <v>25.913</v>
      </c>
      <c r="L20" s="25">
        <f t="shared" si="27"/>
        <v>25.913</v>
      </c>
      <c r="M20" s="45">
        <f t="shared" si="27"/>
        <v>25.913</v>
      </c>
      <c r="N20" s="46">
        <f t="shared" si="27"/>
        <v>25.913</v>
      </c>
      <c r="O20" s="25">
        <f t="shared" si="27"/>
        <v>25.913</v>
      </c>
      <c r="P20" s="25">
        <f t="shared" si="27"/>
        <v>25.913</v>
      </c>
      <c r="Q20" s="25">
        <f t="shared" si="27"/>
        <v>25.913</v>
      </c>
      <c r="R20" s="25">
        <f t="shared" si="27"/>
        <v>25.913</v>
      </c>
      <c r="S20" s="25">
        <f t="shared" si="27"/>
        <v>25.913</v>
      </c>
      <c r="T20" s="25">
        <f t="shared" si="25"/>
        <v>25.913</v>
      </c>
      <c r="U20" s="25">
        <f t="shared" si="25"/>
        <v>25.913</v>
      </c>
      <c r="V20" s="25">
        <f t="shared" si="25"/>
        <v>25.913</v>
      </c>
      <c r="W20" s="25">
        <f t="shared" si="25"/>
        <v>25.913</v>
      </c>
      <c r="X20" s="25">
        <f t="shared" si="25"/>
        <v>25.913</v>
      </c>
      <c r="Y20" s="25">
        <f t="shared" si="25"/>
        <v>25.913</v>
      </c>
    </row>
    <row r="21" spans="1:25" x14ac:dyDescent="0.25">
      <c r="A21" s="77"/>
      <c r="B21" s="8" t="str">
        <f xml:space="preserve"> CONCATENATE(Setup!$B$9, ", ", LEFT(Setup!$C$9,2))</f>
        <v>Dylan, DW</v>
      </c>
      <c r="C21" s="25">
        <f t="shared" si="26"/>
        <v>1.25</v>
      </c>
      <c r="D21" s="25">
        <f t="shared" si="27"/>
        <v>3</v>
      </c>
      <c r="E21" s="25">
        <f t="shared" si="25"/>
        <v>8</v>
      </c>
      <c r="F21" s="25">
        <f t="shared" si="25"/>
        <v>11</v>
      </c>
      <c r="G21" s="25">
        <f t="shared" si="25"/>
        <v>12</v>
      </c>
      <c r="H21" s="25">
        <f t="shared" si="25"/>
        <v>17.067</v>
      </c>
      <c r="I21" s="25">
        <f t="shared" si="25"/>
        <v>22.567</v>
      </c>
      <c r="J21" s="25">
        <f t="shared" si="25"/>
        <v>22.567</v>
      </c>
      <c r="K21" s="25">
        <f t="shared" si="25"/>
        <v>22.567</v>
      </c>
      <c r="L21" s="25">
        <f t="shared" si="25"/>
        <v>22.567</v>
      </c>
      <c r="M21" s="45">
        <f t="shared" si="25"/>
        <v>22.567</v>
      </c>
      <c r="N21" s="46">
        <f t="shared" si="25"/>
        <v>22.567</v>
      </c>
      <c r="O21" s="25">
        <f t="shared" si="25"/>
        <v>22.567</v>
      </c>
      <c r="P21" s="25">
        <f t="shared" si="25"/>
        <v>22.567</v>
      </c>
      <c r="Q21" s="25">
        <f t="shared" si="25"/>
        <v>22.567</v>
      </c>
      <c r="R21" s="25">
        <f t="shared" si="25"/>
        <v>22.567</v>
      </c>
      <c r="S21" s="25">
        <f t="shared" si="25"/>
        <v>22.567</v>
      </c>
      <c r="T21" s="25">
        <f t="shared" si="25"/>
        <v>22.567</v>
      </c>
      <c r="U21" s="25">
        <f t="shared" si="25"/>
        <v>22.567</v>
      </c>
      <c r="V21" s="25">
        <f t="shared" si="25"/>
        <v>22.567</v>
      </c>
      <c r="W21" s="25">
        <f t="shared" si="25"/>
        <v>22.567</v>
      </c>
      <c r="X21" s="25">
        <f t="shared" si="25"/>
        <v>22.567</v>
      </c>
      <c r="Y21" s="25">
        <f t="shared" si="25"/>
        <v>22.567</v>
      </c>
    </row>
    <row r="22" spans="1:25" x14ac:dyDescent="0.25">
      <c r="A22" s="77"/>
      <c r="B22" s="8" t="e">
        <f xml:space="preserve"> CONCATENATE(Setup!#REF!, ", ", LEFT(Setup!#REF!,2))</f>
        <v>#REF!</v>
      </c>
      <c r="C22" s="25">
        <f t="shared" si="26"/>
        <v>0</v>
      </c>
      <c r="D22" s="25">
        <f t="shared" si="27"/>
        <v>13.75</v>
      </c>
      <c r="E22" s="25">
        <f t="shared" si="25"/>
        <v>26.15</v>
      </c>
      <c r="F22" s="25">
        <f t="shared" si="25"/>
        <v>32.4</v>
      </c>
      <c r="G22" s="25">
        <f t="shared" si="25"/>
        <v>35.4</v>
      </c>
      <c r="H22" s="25">
        <f t="shared" si="25"/>
        <v>35.4</v>
      </c>
      <c r="I22" s="25">
        <f t="shared" si="25"/>
        <v>35.4</v>
      </c>
      <c r="J22" s="25">
        <f t="shared" si="25"/>
        <v>35.4</v>
      </c>
      <c r="K22" s="25">
        <f t="shared" si="25"/>
        <v>35.4</v>
      </c>
      <c r="L22" s="25">
        <f t="shared" si="25"/>
        <v>35.4</v>
      </c>
      <c r="M22" s="45">
        <f t="shared" si="25"/>
        <v>35.4</v>
      </c>
      <c r="N22" s="46">
        <f t="shared" si="25"/>
        <v>35.4</v>
      </c>
      <c r="O22" s="25">
        <f t="shared" si="25"/>
        <v>35.4</v>
      </c>
      <c r="P22" s="25">
        <f t="shared" si="25"/>
        <v>35.4</v>
      </c>
      <c r="Q22" s="25">
        <f t="shared" si="25"/>
        <v>35.4</v>
      </c>
      <c r="R22" s="25">
        <f t="shared" si="25"/>
        <v>35.4</v>
      </c>
      <c r="S22" s="25">
        <f t="shared" si="25"/>
        <v>35.4</v>
      </c>
      <c r="T22" s="25">
        <f t="shared" si="25"/>
        <v>35.4</v>
      </c>
      <c r="U22" s="25">
        <f t="shared" si="25"/>
        <v>35.4</v>
      </c>
      <c r="V22" s="25">
        <f t="shared" si="25"/>
        <v>35.4</v>
      </c>
      <c r="W22" s="25">
        <f t="shared" si="25"/>
        <v>35.4</v>
      </c>
      <c r="X22" s="25">
        <f t="shared" si="25"/>
        <v>35.4</v>
      </c>
      <c r="Y22" s="25">
        <f t="shared" si="25"/>
        <v>35.4</v>
      </c>
    </row>
    <row r="23" spans="1:25" ht="15.75" x14ac:dyDescent="0.25">
      <c r="A23" s="77"/>
      <c r="B23" s="9" t="s">
        <v>30</v>
      </c>
      <c r="C23" s="21">
        <f xml:space="preserve"> C11 + C17</f>
        <v>5.91</v>
      </c>
      <c r="D23" s="21">
        <f xml:space="preserve"> C23 + D11 + D17</f>
        <v>22.91</v>
      </c>
      <c r="E23" s="21">
        <f t="shared" ref="E23:Y23" si="28" xml:space="preserve"> D23 + E11 + E17</f>
        <v>41.81</v>
      </c>
      <c r="F23" s="21">
        <f t="shared" si="28"/>
        <v>52.56</v>
      </c>
      <c r="G23" s="21">
        <f t="shared" si="28"/>
        <v>63.06</v>
      </c>
      <c r="H23" s="21">
        <f t="shared" si="28"/>
        <v>75.12700000000001</v>
      </c>
      <c r="I23" s="21">
        <f t="shared" si="28"/>
        <v>103.13000000000001</v>
      </c>
      <c r="J23" s="21">
        <f t="shared" si="28"/>
        <v>103.13000000000001</v>
      </c>
      <c r="K23" s="21">
        <f t="shared" si="28"/>
        <v>103.13000000000001</v>
      </c>
      <c r="L23" s="21">
        <f t="shared" si="28"/>
        <v>103.13000000000001</v>
      </c>
      <c r="M23" s="47">
        <f t="shared" si="28"/>
        <v>103.13000000000001</v>
      </c>
      <c r="N23" s="48">
        <f t="shared" si="28"/>
        <v>103.13000000000001</v>
      </c>
      <c r="O23" s="21">
        <f t="shared" si="28"/>
        <v>103.13000000000001</v>
      </c>
      <c r="P23" s="21">
        <f t="shared" si="28"/>
        <v>103.13000000000001</v>
      </c>
      <c r="Q23" s="21">
        <f t="shared" si="28"/>
        <v>103.13000000000001</v>
      </c>
      <c r="R23" s="21">
        <f t="shared" si="28"/>
        <v>103.13000000000001</v>
      </c>
      <c r="S23" s="21">
        <f t="shared" si="28"/>
        <v>103.13000000000001</v>
      </c>
      <c r="T23" s="21">
        <f t="shared" si="28"/>
        <v>103.13000000000001</v>
      </c>
      <c r="U23" s="21">
        <f t="shared" si="28"/>
        <v>103.13000000000001</v>
      </c>
      <c r="V23" s="21">
        <f t="shared" si="28"/>
        <v>103.13000000000001</v>
      </c>
      <c r="W23" s="21">
        <f t="shared" si="28"/>
        <v>103.13000000000001</v>
      </c>
      <c r="X23" s="21">
        <f t="shared" si="28"/>
        <v>103.13000000000001</v>
      </c>
      <c r="Y23" s="21">
        <f t="shared" si="28"/>
        <v>103.13000000000001</v>
      </c>
    </row>
    <row r="24" spans="1:25" ht="15.75" x14ac:dyDescent="0.25">
      <c r="A24" s="19"/>
      <c r="B24" s="20"/>
      <c r="M24" s="49"/>
      <c r="N24" s="50"/>
    </row>
    <row r="25" spans="1:25" x14ac:dyDescent="0.25">
      <c r="A25" s="77" t="s">
        <v>8</v>
      </c>
      <c r="B25" s="8" t="str">
        <f xml:space="preserve"> CONCATENATE(Setup!$B$7, ", ", LEFT(Setup!$C$7,2))</f>
        <v>Nathan, NR</v>
      </c>
      <c r="C25" s="29">
        <f xml:space="preserve"> C19 / C$6</f>
        <v>2</v>
      </c>
      <c r="D25" s="29">
        <f t="shared" ref="D25:E25" si="29" xml:space="preserve"> D19 / D$6</f>
        <v>5.75</v>
      </c>
      <c r="E25" s="29">
        <f t="shared" si="29"/>
        <v>5.8</v>
      </c>
      <c r="F25" s="29">
        <f t="shared" ref="F25:Y25" si="30" xml:space="preserve"> F19 / F$6</f>
        <v>6.0374999999999996</v>
      </c>
      <c r="G25" s="29">
        <f t="shared" si="30"/>
        <v>6.13</v>
      </c>
      <c r="H25" s="29">
        <f t="shared" si="30"/>
        <v>5.9416666666666664</v>
      </c>
      <c r="I25" s="29">
        <f t="shared" si="30"/>
        <v>6.5928571428571425</v>
      </c>
      <c r="J25" s="29">
        <f t="shared" si="30"/>
        <v>5.7687499999999998</v>
      </c>
      <c r="K25" s="29">
        <f t="shared" si="30"/>
        <v>5.1277777777777773</v>
      </c>
      <c r="L25" s="29">
        <f t="shared" si="30"/>
        <v>4.6150000000000002</v>
      </c>
      <c r="M25" s="51">
        <f t="shared" si="30"/>
        <v>4.1954545454545453</v>
      </c>
      <c r="N25" s="52">
        <f t="shared" si="30"/>
        <v>3.8458333333333332</v>
      </c>
      <c r="O25" s="29">
        <f t="shared" si="30"/>
        <v>3.55</v>
      </c>
      <c r="P25" s="29">
        <f t="shared" si="30"/>
        <v>3.2964285714285713</v>
      </c>
      <c r="Q25" s="29">
        <f t="shared" si="30"/>
        <v>3.0766666666666667</v>
      </c>
      <c r="R25" s="29">
        <f t="shared" si="30"/>
        <v>2.8843749999999999</v>
      </c>
      <c r="S25" s="29">
        <f t="shared" si="30"/>
        <v>2.7147058823529413</v>
      </c>
      <c r="T25" s="29">
        <f t="shared" si="30"/>
        <v>2.5638888888888887</v>
      </c>
      <c r="U25" s="29">
        <f t="shared" si="30"/>
        <v>2.4289473684210527</v>
      </c>
      <c r="V25" s="29">
        <f t="shared" si="30"/>
        <v>2.3075000000000001</v>
      </c>
      <c r="W25" s="29">
        <f t="shared" si="30"/>
        <v>2.1976190476190474</v>
      </c>
      <c r="X25" s="29">
        <f t="shared" si="30"/>
        <v>2.0977272727272727</v>
      </c>
      <c r="Y25" s="29">
        <f t="shared" si="30"/>
        <v>2.0065217391304349</v>
      </c>
    </row>
    <row r="26" spans="1:25" x14ac:dyDescent="0.25">
      <c r="A26" s="77"/>
      <c r="B26" s="8" t="str">
        <f xml:space="preserve"> CONCATENATE(Setup!$B$8, ", ", LEFT(Setup!$C$8,2))</f>
        <v>Spencer, SS</v>
      </c>
      <c r="C26" s="29">
        <f t="shared" ref="C26:E29" si="31" xml:space="preserve"> C20 / C$6</f>
        <v>2.66</v>
      </c>
      <c r="D26" s="29">
        <f t="shared" si="31"/>
        <v>2.2050000000000001</v>
      </c>
      <c r="E26" s="29">
        <f t="shared" si="31"/>
        <v>2.97</v>
      </c>
      <c r="F26" s="29">
        <f t="shared" ref="F26:Y26" si="32" xml:space="preserve"> F20 / F$6</f>
        <v>2.4775</v>
      </c>
      <c r="G26" s="29">
        <f t="shared" si="32"/>
        <v>2.3820000000000001</v>
      </c>
      <c r="H26" s="29">
        <f t="shared" si="32"/>
        <v>2.3183333333333334</v>
      </c>
      <c r="I26" s="29">
        <f t="shared" si="32"/>
        <v>3.701857142857143</v>
      </c>
      <c r="J26" s="29">
        <f t="shared" si="32"/>
        <v>3.239125</v>
      </c>
      <c r="K26" s="29">
        <f t="shared" si="32"/>
        <v>2.8792222222222223</v>
      </c>
      <c r="L26" s="29">
        <f t="shared" si="32"/>
        <v>2.5912999999999999</v>
      </c>
      <c r="M26" s="51">
        <f t="shared" si="32"/>
        <v>2.3557272727272727</v>
      </c>
      <c r="N26" s="52">
        <f t="shared" si="32"/>
        <v>2.1594166666666665</v>
      </c>
      <c r="O26" s="29">
        <f t="shared" si="32"/>
        <v>1.9933076923076922</v>
      </c>
      <c r="P26" s="29">
        <f t="shared" si="32"/>
        <v>1.8509285714285715</v>
      </c>
      <c r="Q26" s="29">
        <f t="shared" si="32"/>
        <v>1.7275333333333334</v>
      </c>
      <c r="R26" s="29">
        <f t="shared" si="32"/>
        <v>1.6195625</v>
      </c>
      <c r="S26" s="29">
        <f t="shared" si="32"/>
        <v>1.5242941176470588</v>
      </c>
      <c r="T26" s="29">
        <f t="shared" si="32"/>
        <v>1.4396111111111112</v>
      </c>
      <c r="U26" s="29">
        <f t="shared" si="32"/>
        <v>1.363842105263158</v>
      </c>
      <c r="V26" s="29">
        <f t="shared" si="32"/>
        <v>1.29565</v>
      </c>
      <c r="W26" s="29">
        <f t="shared" si="32"/>
        <v>1.2339523809523809</v>
      </c>
      <c r="X26" s="29">
        <f t="shared" si="32"/>
        <v>1.1778636363636363</v>
      </c>
      <c r="Y26" s="29">
        <f t="shared" si="32"/>
        <v>1.1266521739130435</v>
      </c>
    </row>
    <row r="27" spans="1:25" x14ac:dyDescent="0.25">
      <c r="A27" s="77"/>
      <c r="B27" s="8" t="str">
        <f xml:space="preserve"> CONCATENATE(Setup!$B$9, ", ", LEFT(Setup!$C$9,2))</f>
        <v>Dylan, DW</v>
      </c>
      <c r="C27" s="29">
        <f t="shared" si="31"/>
        <v>1.25</v>
      </c>
      <c r="D27" s="29">
        <f t="shared" si="31"/>
        <v>1.5</v>
      </c>
      <c r="E27" s="29">
        <f t="shared" si="31"/>
        <v>2.6666666666666665</v>
      </c>
      <c r="F27" s="29">
        <f t="shared" ref="F27:Y27" si="33" xml:space="preserve"> F21 / F$6</f>
        <v>2.75</v>
      </c>
      <c r="G27" s="29">
        <f t="shared" si="33"/>
        <v>2.4</v>
      </c>
      <c r="H27" s="29">
        <f t="shared" si="33"/>
        <v>2.8445</v>
      </c>
      <c r="I27" s="29">
        <f t="shared" si="33"/>
        <v>3.2238571428571428</v>
      </c>
      <c r="J27" s="29">
        <f t="shared" si="33"/>
        <v>2.820875</v>
      </c>
      <c r="K27" s="29">
        <f t="shared" si="33"/>
        <v>2.5074444444444444</v>
      </c>
      <c r="L27" s="29">
        <f t="shared" si="33"/>
        <v>2.2566999999999999</v>
      </c>
      <c r="M27" s="51">
        <f t="shared" si="33"/>
        <v>2.0515454545454546</v>
      </c>
      <c r="N27" s="52">
        <f t="shared" si="33"/>
        <v>1.8805833333333333</v>
      </c>
      <c r="O27" s="29">
        <f t="shared" si="33"/>
        <v>1.7359230769230769</v>
      </c>
      <c r="P27" s="29">
        <f t="shared" si="33"/>
        <v>1.6119285714285714</v>
      </c>
      <c r="Q27" s="29">
        <f t="shared" si="33"/>
        <v>1.5044666666666666</v>
      </c>
      <c r="R27" s="29">
        <f t="shared" si="33"/>
        <v>1.4104375</v>
      </c>
      <c r="S27" s="29">
        <f t="shared" si="33"/>
        <v>1.3274705882352942</v>
      </c>
      <c r="T27" s="29">
        <f t="shared" si="33"/>
        <v>1.2537222222222222</v>
      </c>
      <c r="U27" s="29">
        <f t="shared" si="33"/>
        <v>1.1877368421052632</v>
      </c>
      <c r="V27" s="29">
        <f t="shared" si="33"/>
        <v>1.12835</v>
      </c>
      <c r="W27" s="29">
        <f t="shared" si="33"/>
        <v>1.0746190476190476</v>
      </c>
      <c r="X27" s="29">
        <f t="shared" si="33"/>
        <v>1.0257727272727273</v>
      </c>
      <c r="Y27" s="29">
        <f t="shared" si="33"/>
        <v>0.98117391304347823</v>
      </c>
    </row>
    <row r="28" spans="1:25" x14ac:dyDescent="0.25">
      <c r="A28" s="77"/>
      <c r="B28" s="8" t="e">
        <f xml:space="preserve"> CONCATENATE(Setup!#REF!, ", ", LEFT(Setup!#REF!,2))</f>
        <v>#REF!</v>
      </c>
      <c r="C28" s="29">
        <f t="shared" si="31"/>
        <v>0</v>
      </c>
      <c r="D28" s="29">
        <f t="shared" si="31"/>
        <v>6.875</v>
      </c>
      <c r="E28" s="29">
        <f t="shared" si="31"/>
        <v>8.7166666666666668</v>
      </c>
      <c r="F28" s="29">
        <f t="shared" ref="F28:Y28" si="34" xml:space="preserve"> F22 / F$6</f>
        <v>8.1</v>
      </c>
      <c r="G28" s="29">
        <f t="shared" si="34"/>
        <v>7.08</v>
      </c>
      <c r="H28" s="29">
        <f t="shared" si="34"/>
        <v>5.8999999999999995</v>
      </c>
      <c r="I28" s="29">
        <f t="shared" si="34"/>
        <v>5.0571428571428569</v>
      </c>
      <c r="J28" s="29">
        <f t="shared" si="34"/>
        <v>4.4249999999999998</v>
      </c>
      <c r="K28" s="29">
        <f t="shared" si="34"/>
        <v>3.9333333333333331</v>
      </c>
      <c r="L28" s="29">
        <f t="shared" si="34"/>
        <v>3.54</v>
      </c>
      <c r="M28" s="51">
        <f t="shared" si="34"/>
        <v>3.2181818181818183</v>
      </c>
      <c r="N28" s="52">
        <f t="shared" si="34"/>
        <v>2.9499999999999997</v>
      </c>
      <c r="O28" s="29">
        <f t="shared" si="34"/>
        <v>2.7230769230769232</v>
      </c>
      <c r="P28" s="29">
        <f t="shared" si="34"/>
        <v>2.5285714285714285</v>
      </c>
      <c r="Q28" s="29">
        <f t="shared" si="34"/>
        <v>2.36</v>
      </c>
      <c r="R28" s="29">
        <f t="shared" si="34"/>
        <v>2.2124999999999999</v>
      </c>
      <c r="S28" s="29">
        <f t="shared" si="34"/>
        <v>2.0823529411764703</v>
      </c>
      <c r="T28" s="29">
        <f t="shared" si="34"/>
        <v>1.9666666666666666</v>
      </c>
      <c r="U28" s="29">
        <f t="shared" si="34"/>
        <v>1.8631578947368421</v>
      </c>
      <c r="V28" s="29">
        <f t="shared" si="34"/>
        <v>1.77</v>
      </c>
      <c r="W28" s="29">
        <f t="shared" si="34"/>
        <v>1.6857142857142857</v>
      </c>
      <c r="X28" s="29">
        <f t="shared" si="34"/>
        <v>1.6090909090909091</v>
      </c>
      <c r="Y28" s="29">
        <f t="shared" si="34"/>
        <v>1.5391304347826087</v>
      </c>
    </row>
    <row r="29" spans="1:25" ht="15.75" x14ac:dyDescent="0.25">
      <c r="A29" s="77"/>
      <c r="B29" s="9" t="s">
        <v>30</v>
      </c>
      <c r="C29" s="30">
        <f t="shared" si="31"/>
        <v>5.91</v>
      </c>
      <c r="D29" s="30">
        <f t="shared" si="31"/>
        <v>11.455</v>
      </c>
      <c r="E29" s="30">
        <f t="shared" si="31"/>
        <v>13.936666666666667</v>
      </c>
      <c r="F29" s="30">
        <f t="shared" ref="F29:Y29" si="35" xml:space="preserve"> F23 / F$6</f>
        <v>13.14</v>
      </c>
      <c r="G29" s="30">
        <f t="shared" si="35"/>
        <v>12.612</v>
      </c>
      <c r="H29" s="30">
        <f t="shared" si="35"/>
        <v>12.521166666666668</v>
      </c>
      <c r="I29" s="30">
        <f t="shared" si="35"/>
        <v>14.732857142857144</v>
      </c>
      <c r="J29" s="30">
        <f t="shared" si="35"/>
        <v>12.891250000000001</v>
      </c>
      <c r="K29" s="30">
        <f t="shared" si="35"/>
        <v>11.45888888888889</v>
      </c>
      <c r="L29" s="30">
        <f t="shared" si="35"/>
        <v>10.313000000000001</v>
      </c>
      <c r="M29" s="53">
        <f t="shared" si="35"/>
        <v>9.3754545454545468</v>
      </c>
      <c r="N29" s="54">
        <f t="shared" si="35"/>
        <v>8.5941666666666681</v>
      </c>
      <c r="O29" s="30">
        <f t="shared" si="35"/>
        <v>7.933076923076924</v>
      </c>
      <c r="P29" s="30">
        <f t="shared" si="35"/>
        <v>7.366428571428572</v>
      </c>
      <c r="Q29" s="30">
        <f t="shared" si="35"/>
        <v>6.8753333333333337</v>
      </c>
      <c r="R29" s="30">
        <f t="shared" si="35"/>
        <v>6.4456250000000006</v>
      </c>
      <c r="S29" s="30">
        <f t="shared" si="35"/>
        <v>6.0664705882352949</v>
      </c>
      <c r="T29" s="30">
        <f t="shared" si="35"/>
        <v>5.7294444444444448</v>
      </c>
      <c r="U29" s="30">
        <f t="shared" si="35"/>
        <v>5.4278947368421058</v>
      </c>
      <c r="V29" s="30">
        <f t="shared" si="35"/>
        <v>5.1565000000000003</v>
      </c>
      <c r="W29" s="30">
        <f t="shared" si="35"/>
        <v>4.9109523809523816</v>
      </c>
      <c r="X29" s="30">
        <f t="shared" si="35"/>
        <v>4.6877272727272734</v>
      </c>
      <c r="Y29" s="30">
        <f t="shared" si="35"/>
        <v>4.4839130434782613</v>
      </c>
    </row>
  </sheetData>
  <mergeCells count="18">
    <mergeCell ref="A7:A11"/>
    <mergeCell ref="A25:A29"/>
    <mergeCell ref="A19:A23"/>
    <mergeCell ref="X4:Y4"/>
    <mergeCell ref="C3:M3"/>
    <mergeCell ref="N3:Y3"/>
    <mergeCell ref="T4:U4"/>
    <mergeCell ref="V4:W4"/>
    <mergeCell ref="A13:A17"/>
    <mergeCell ref="C1:M1"/>
    <mergeCell ref="L4:M4"/>
    <mergeCell ref="N4:O4"/>
    <mergeCell ref="P4:Q4"/>
    <mergeCell ref="R4:S4"/>
    <mergeCell ref="C4:E4"/>
    <mergeCell ref="F4:G4"/>
    <mergeCell ref="H4:I4"/>
    <mergeCell ref="J4:K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workbookViewId="0">
      <selection activeCell="C4" sqref="C4"/>
    </sheetView>
  </sheetViews>
  <sheetFormatPr defaultColWidth="8.85546875" defaultRowHeight="15" x14ac:dyDescent="0.25"/>
  <cols>
    <col min="2" max="2" width="15.7109375" customWidth="1"/>
  </cols>
  <sheetData>
    <row r="1" spans="1:23" ht="18.75" x14ac:dyDescent="0.3">
      <c r="C1" s="14" t="s">
        <v>29</v>
      </c>
    </row>
    <row r="2" spans="1:23" ht="18.75" x14ac:dyDescent="0.3">
      <c r="B2" s="23" t="e">
        <f>SheetName</f>
        <v>#NAME?</v>
      </c>
      <c r="C2" s="27" t="s">
        <v>38</v>
      </c>
    </row>
    <row r="3" spans="1:23" x14ac:dyDescent="0.25">
      <c r="B3" s="31" t="s">
        <v>36</v>
      </c>
      <c r="C3" s="82" t="s">
        <v>32</v>
      </c>
      <c r="D3" s="83"/>
      <c r="E3" s="83"/>
      <c r="F3" s="83"/>
      <c r="G3" s="83"/>
      <c r="H3" s="83"/>
      <c r="I3" s="83"/>
      <c r="J3" s="83" t="s">
        <v>33</v>
      </c>
      <c r="K3" s="83"/>
      <c r="L3" s="83"/>
      <c r="M3" s="83"/>
      <c r="N3" s="83"/>
      <c r="O3" s="83"/>
      <c r="P3" s="83"/>
      <c r="Q3" s="83" t="s">
        <v>34</v>
      </c>
      <c r="R3" s="83"/>
      <c r="S3" s="83"/>
      <c r="T3" s="83"/>
      <c r="U3" s="83"/>
      <c r="V3" s="83"/>
      <c r="W3" s="84"/>
    </row>
    <row r="4" spans="1:23" x14ac:dyDescent="0.25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6">
        <f t="shared" si="0"/>
        <v>42260</v>
      </c>
      <c r="J4" s="57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6">
        <f t="shared" si="0"/>
        <v>42267</v>
      </c>
      <c r="Q4" s="57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  <c r="Q5" s="59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5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2</v>
      </c>
      <c r="G6" s="33">
        <v>0</v>
      </c>
      <c r="H6" s="33">
        <v>0</v>
      </c>
      <c r="I6" s="60">
        <v>0</v>
      </c>
      <c r="J6" s="61">
        <v>0</v>
      </c>
      <c r="K6" s="33">
        <v>1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  <c r="Q6" s="67">
        <v>0</v>
      </c>
      <c r="R6" s="35">
        <v>1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.5" thickTop="1" thickBot="1" x14ac:dyDescent="0.3">
      <c r="A7" s="85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60">
        <v>0</v>
      </c>
      <c r="J7" s="61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  <c r="Q7" s="68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.5" thickTop="1" thickBot="1" x14ac:dyDescent="0.3">
      <c r="A8" s="85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60">
        <v>0</v>
      </c>
      <c r="J8" s="61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60">
        <v>0</v>
      </c>
      <c r="Q8" s="68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.5" thickTop="1" thickBot="1" x14ac:dyDescent="0.3">
      <c r="A9" s="85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60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  <c r="Q9" s="69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.5" thickBot="1" x14ac:dyDescent="0.3">
      <c r="A10" s="85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3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2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2">
        <f t="shared" si="1"/>
        <v>0</v>
      </c>
      <c r="Q10" s="63">
        <f t="shared" si="1"/>
        <v>3</v>
      </c>
      <c r="R10" s="21">
        <f t="shared" si="1"/>
        <v>1.5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  <c r="Q11" s="63"/>
      <c r="R11" s="21"/>
      <c r="S11" s="21"/>
      <c r="T11" s="21"/>
      <c r="U11" s="21"/>
      <c r="V11" s="21"/>
      <c r="W11" s="21"/>
    </row>
    <row r="12" spans="1:23" ht="15.75" thickBot="1" x14ac:dyDescent="0.3">
      <c r="A12" s="85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2</v>
      </c>
      <c r="G12" s="22">
        <f t="shared" si="2"/>
        <v>2</v>
      </c>
      <c r="H12" s="22">
        <f t="shared" si="2"/>
        <v>2</v>
      </c>
      <c r="I12" s="64">
        <f t="shared" si="2"/>
        <v>2</v>
      </c>
      <c r="J12" s="65">
        <f t="shared" si="2"/>
        <v>2</v>
      </c>
      <c r="K12" s="22">
        <f t="shared" si="2"/>
        <v>3</v>
      </c>
      <c r="L12" s="22">
        <f t="shared" si="2"/>
        <v>3</v>
      </c>
      <c r="M12" s="22">
        <f t="shared" si="2"/>
        <v>3</v>
      </c>
      <c r="N12" s="22">
        <f t="shared" si="2"/>
        <v>3</v>
      </c>
      <c r="O12" s="22">
        <f t="shared" si="2"/>
        <v>3</v>
      </c>
      <c r="P12" s="64">
        <f t="shared" si="2"/>
        <v>3</v>
      </c>
      <c r="Q12" s="65">
        <f t="shared" si="2"/>
        <v>3</v>
      </c>
      <c r="R12" s="22">
        <f t="shared" si="2"/>
        <v>4</v>
      </c>
      <c r="S12" s="22">
        <f t="shared" si="2"/>
        <v>4</v>
      </c>
      <c r="T12" s="22">
        <f t="shared" si="2"/>
        <v>4</v>
      </c>
      <c r="U12" s="22">
        <f t="shared" si="2"/>
        <v>4</v>
      </c>
      <c r="V12" s="22">
        <f t="shared" si="2"/>
        <v>4</v>
      </c>
      <c r="W12" s="22">
        <f t="shared" si="2"/>
        <v>4</v>
      </c>
    </row>
    <row r="13" spans="1:23" ht="15.75" thickBot="1" x14ac:dyDescent="0.3">
      <c r="A13" s="85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4">
        <f t="shared" si="3"/>
        <v>0.5</v>
      </c>
      <c r="Q13" s="65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.75" thickBot="1" x14ac:dyDescent="0.3">
      <c r="A14" s="85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4">
        <f t="shared" si="4"/>
        <v>1</v>
      </c>
      <c r="J14" s="65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4">
        <f t="shared" si="4"/>
        <v>2.75</v>
      </c>
      <c r="Q14" s="65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.75" thickBot="1" x14ac:dyDescent="0.3">
      <c r="A15" s="85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  <c r="Q15" s="65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.5" thickBot="1" x14ac:dyDescent="0.3">
      <c r="A16" s="85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3</v>
      </c>
      <c r="G16" s="21">
        <f t="shared" si="6"/>
        <v>3</v>
      </c>
      <c r="H16" s="21">
        <f t="shared" si="6"/>
        <v>3</v>
      </c>
      <c r="I16" s="62">
        <f t="shared" si="6"/>
        <v>3</v>
      </c>
      <c r="J16" s="63">
        <f t="shared" si="6"/>
        <v>3</v>
      </c>
      <c r="K16" s="21">
        <f t="shared" si="6"/>
        <v>5</v>
      </c>
      <c r="L16" s="21">
        <f t="shared" si="6"/>
        <v>6</v>
      </c>
      <c r="M16" s="21">
        <f t="shared" si="6"/>
        <v>6.25</v>
      </c>
      <c r="N16" s="21">
        <f t="shared" si="6"/>
        <v>6.25</v>
      </c>
      <c r="O16" s="21">
        <f t="shared" si="6"/>
        <v>6.25</v>
      </c>
      <c r="P16" s="62">
        <f t="shared" si="6"/>
        <v>6.25</v>
      </c>
      <c r="Q16" s="63">
        <f t="shared" si="6"/>
        <v>9.25</v>
      </c>
      <c r="R16" s="21">
        <f t="shared" si="6"/>
        <v>10.75</v>
      </c>
      <c r="S16" s="21">
        <f t="shared" si="6"/>
        <v>11.75</v>
      </c>
      <c r="T16" s="21">
        <f t="shared" si="6"/>
        <v>12.25</v>
      </c>
      <c r="U16" s="21">
        <f t="shared" si="6"/>
        <v>12.25</v>
      </c>
      <c r="V16" s="21">
        <f t="shared" si="6"/>
        <v>12.75</v>
      </c>
      <c r="W16" s="21">
        <f t="shared" si="6"/>
        <v>12.75</v>
      </c>
    </row>
    <row r="17" spans="1:23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  <c r="Q17" s="63"/>
      <c r="R17" s="21"/>
      <c r="S17" s="21"/>
      <c r="T17" s="21"/>
      <c r="U17" s="21"/>
      <c r="V17" s="21"/>
      <c r="W17" s="21"/>
    </row>
    <row r="18" spans="1:23" ht="15.75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60">
        <v>0</v>
      </c>
      <c r="J18" s="61">
        <v>0</v>
      </c>
      <c r="K18" s="33">
        <v>0</v>
      </c>
      <c r="L18" s="33">
        <v>0</v>
      </c>
      <c r="M18" s="33">
        <v>2</v>
      </c>
      <c r="N18" s="33">
        <v>2</v>
      </c>
      <c r="O18" s="33">
        <v>0</v>
      </c>
      <c r="P18" s="60">
        <v>0</v>
      </c>
      <c r="Q18" s="67">
        <v>0.5</v>
      </c>
      <c r="R18" s="35">
        <v>0</v>
      </c>
      <c r="S18" s="35">
        <v>0</v>
      </c>
      <c r="T18" s="35">
        <v>0</v>
      </c>
      <c r="U18" s="35">
        <v>0</v>
      </c>
      <c r="V18" s="35">
        <v>3</v>
      </c>
      <c r="W18" s="37">
        <v>0</v>
      </c>
    </row>
    <row r="19" spans="1:23" ht="16.5" thickTop="1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60">
        <v>0</v>
      </c>
      <c r="J19" s="61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60">
        <v>2.5</v>
      </c>
      <c r="Q19" s="68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.5" thickTop="1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60">
        <v>0</v>
      </c>
      <c r="J20" s="61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60">
        <v>0</v>
      </c>
      <c r="Q20" s="68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.5" thickTop="1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60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  <c r="Q21" s="69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3.75</v>
      </c>
      <c r="N22" s="21">
        <f t="shared" si="7"/>
        <v>2</v>
      </c>
      <c r="O22" s="21">
        <f t="shared" si="7"/>
        <v>0</v>
      </c>
      <c r="P22" s="62">
        <f t="shared" si="7"/>
        <v>2.5</v>
      </c>
      <c r="Q22" s="63">
        <f t="shared" si="7"/>
        <v>3.4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3.5</v>
      </c>
      <c r="W22" s="21">
        <f t="shared" si="7"/>
        <v>0</v>
      </c>
    </row>
    <row r="23" spans="1:23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  <c r="Q23" s="63"/>
      <c r="R23" s="21"/>
      <c r="S23" s="21"/>
      <c r="T23" s="21"/>
      <c r="U23" s="21"/>
      <c r="V23" s="21"/>
      <c r="W23" s="21"/>
    </row>
    <row r="24" spans="1:23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2</v>
      </c>
      <c r="N24" s="22">
        <f t="shared" si="9"/>
        <v>4</v>
      </c>
      <c r="O24" s="22">
        <f t="shared" si="9"/>
        <v>4</v>
      </c>
      <c r="P24" s="64">
        <f t="shared" si="9"/>
        <v>4</v>
      </c>
      <c r="Q24" s="65">
        <f t="shared" si="9"/>
        <v>4.5</v>
      </c>
      <c r="R24" s="22">
        <f t="shared" si="9"/>
        <v>4.5</v>
      </c>
      <c r="S24" s="22">
        <f t="shared" si="9"/>
        <v>4.5</v>
      </c>
      <c r="T24" s="22">
        <f t="shared" si="9"/>
        <v>4.5</v>
      </c>
      <c r="U24" s="22">
        <f t="shared" si="9"/>
        <v>4.5</v>
      </c>
      <c r="V24" s="22">
        <f t="shared" si="9"/>
        <v>7.5</v>
      </c>
      <c r="W24" s="22">
        <f t="shared" si="9"/>
        <v>7.5</v>
      </c>
    </row>
    <row r="25" spans="1:23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0.33</v>
      </c>
      <c r="E25" s="22">
        <f t="shared" ref="E25:I25" si="10" xml:space="preserve"> D$25 + E$19</f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4">
        <f t="shared" si="10"/>
        <v>2.66</v>
      </c>
      <c r="J25" s="65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4">
        <f t="shared" si="11"/>
        <v>11.16</v>
      </c>
      <c r="Q25" s="65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0.25</v>
      </c>
      <c r="E26" s="22">
        <f t="shared" ref="E26:I26" si="12" xml:space="preserve"> D$26 + E$20</f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4">
        <f t="shared" si="12"/>
        <v>0.25</v>
      </c>
      <c r="J26" s="65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4">
        <f t="shared" si="13"/>
        <v>1.5</v>
      </c>
      <c r="Q26" s="65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4">
        <f t="shared" si="14"/>
        <v>0</v>
      </c>
      <c r="J27" s="65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4">
        <f t="shared" si="15"/>
        <v>0</v>
      </c>
      <c r="Q27" s="65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2">
        <f t="shared" si="16"/>
        <v>2.91</v>
      </c>
      <c r="J28" s="63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12.16</v>
      </c>
      <c r="N28" s="21">
        <f t="shared" si="16"/>
        <v>14.16</v>
      </c>
      <c r="O28" s="21">
        <f t="shared" si="16"/>
        <v>14.16</v>
      </c>
      <c r="P28" s="62">
        <f t="shared" si="16"/>
        <v>16.66</v>
      </c>
      <c r="Q28" s="63">
        <f t="shared" si="16"/>
        <v>20.060000000000002</v>
      </c>
      <c r="R28" s="21">
        <f t="shared" si="16"/>
        <v>22.560000000000002</v>
      </c>
      <c r="S28" s="21">
        <f t="shared" si="16"/>
        <v>23.560000000000002</v>
      </c>
      <c r="T28" s="21">
        <f t="shared" si="16"/>
        <v>25.560000000000002</v>
      </c>
      <c r="U28" s="21">
        <f t="shared" si="16"/>
        <v>25.560000000000002</v>
      </c>
      <c r="V28" s="21">
        <f t="shared" si="16"/>
        <v>29.060000000000002</v>
      </c>
      <c r="W28" s="21">
        <f t="shared" si="16"/>
        <v>29.060000000000002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  <c r="Q29" s="63"/>
      <c r="R29" s="21"/>
      <c r="S29" s="21"/>
      <c r="T29" s="21"/>
      <c r="U29" s="21"/>
      <c r="V29" s="21"/>
      <c r="W29" s="21"/>
    </row>
    <row r="30" spans="1:23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0.5</v>
      </c>
      <c r="G30" s="22">
        <f t="shared" si="17"/>
        <v>0.4</v>
      </c>
      <c r="H30" s="22">
        <f t="shared" si="17"/>
        <v>0.33333333333333331</v>
      </c>
      <c r="I30" s="64">
        <f t="shared" si="17"/>
        <v>0.2857142857142857</v>
      </c>
      <c r="J30" s="65">
        <f t="shared" si="17"/>
        <v>0.25</v>
      </c>
      <c r="K30" s="22">
        <f t="shared" si="17"/>
        <v>0.33333333333333331</v>
      </c>
      <c r="L30" s="22">
        <f t="shared" si="17"/>
        <v>0.3</v>
      </c>
      <c r="M30" s="22">
        <f t="shared" si="17"/>
        <v>0.45454545454545453</v>
      </c>
      <c r="N30" s="22">
        <f t="shared" si="17"/>
        <v>0.58333333333333337</v>
      </c>
      <c r="O30" s="22">
        <f t="shared" si="17"/>
        <v>0.53846153846153844</v>
      </c>
      <c r="P30" s="64">
        <f t="shared" si="17"/>
        <v>0.5</v>
      </c>
      <c r="Q30" s="65">
        <f t="shared" si="17"/>
        <v>0.5</v>
      </c>
      <c r="R30" s="22">
        <f t="shared" si="17"/>
        <v>0.53125</v>
      </c>
      <c r="S30" s="22">
        <f t="shared" si="17"/>
        <v>0.5</v>
      </c>
      <c r="T30" s="22">
        <f t="shared" si="17"/>
        <v>0.47222222222222221</v>
      </c>
      <c r="U30" s="22">
        <f t="shared" si="17"/>
        <v>0.44736842105263158</v>
      </c>
      <c r="V30" s="22">
        <f t="shared" si="17"/>
        <v>0.57499999999999996</v>
      </c>
      <c r="W30" s="22">
        <f t="shared" si="17"/>
        <v>0.54761904761904767</v>
      </c>
    </row>
    <row r="31" spans="1:23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4">
        <f t="shared" si="18"/>
        <v>0.38</v>
      </c>
      <c r="J31" s="65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4">
        <f t="shared" si="18"/>
        <v>0.83285714285714285</v>
      </c>
      <c r="Q31" s="65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4">
        <f t="shared" si="19"/>
        <v>0.17857142857142858</v>
      </c>
      <c r="J32" s="65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4">
        <f t="shared" si="19"/>
        <v>0.30357142857142855</v>
      </c>
      <c r="Q32" s="65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4">
        <f t="shared" si="20"/>
        <v>0</v>
      </c>
      <c r="J33" s="65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4">
        <f t="shared" si="20"/>
        <v>0</v>
      </c>
      <c r="Q33" s="65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1.4775</v>
      </c>
      <c r="G34" s="21">
        <f t="shared" si="21"/>
        <v>1.1819999999999999</v>
      </c>
      <c r="H34" s="21">
        <f t="shared" si="21"/>
        <v>0.98499999999999999</v>
      </c>
      <c r="I34" s="62">
        <f t="shared" si="21"/>
        <v>0.84428571428571431</v>
      </c>
      <c r="J34" s="63">
        <f t="shared" si="21"/>
        <v>0.73875000000000002</v>
      </c>
      <c r="K34" s="21">
        <f t="shared" si="21"/>
        <v>1.1566666666666667</v>
      </c>
      <c r="L34" s="21">
        <f t="shared" si="21"/>
        <v>1.4410000000000001</v>
      </c>
      <c r="M34" s="21">
        <f t="shared" si="21"/>
        <v>1.6736363636363638</v>
      </c>
      <c r="N34" s="21">
        <f t="shared" si="21"/>
        <v>1.7008333333333334</v>
      </c>
      <c r="O34" s="21">
        <f t="shared" si="21"/>
        <v>1.57</v>
      </c>
      <c r="P34" s="62">
        <f t="shared" si="21"/>
        <v>1.6364285714285713</v>
      </c>
      <c r="Q34" s="63">
        <f t="shared" si="21"/>
        <v>1.954</v>
      </c>
      <c r="R34" s="21">
        <f t="shared" si="21"/>
        <v>2.0818750000000001</v>
      </c>
      <c r="S34" s="21">
        <f t="shared" si="21"/>
        <v>2.0770588235294118</v>
      </c>
      <c r="T34" s="21">
        <f t="shared" si="21"/>
        <v>2.1005555555555557</v>
      </c>
      <c r="U34" s="21">
        <f t="shared" si="21"/>
        <v>1.9900000000000002</v>
      </c>
      <c r="V34" s="21">
        <f t="shared" si="21"/>
        <v>2.0905</v>
      </c>
      <c r="W34" s="21">
        <f t="shared" si="21"/>
        <v>1.9909523809523813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5</v>
      </c>
      <c r="E37" s="25">
        <f xml:space="preserve"> SUM(Q6:W6) + SUM(Q18:W18)</f>
        <v>4.5</v>
      </c>
      <c r="F37" s="25">
        <f xml:space="preserve"> SUM(C37:E37)</f>
        <v>11.5</v>
      </c>
    </row>
    <row r="38" spans="1:23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22" xml:space="preserve"> SUM(C7:I7) + SUM(C19:I19)</f>
        <v>2.66</v>
      </c>
      <c r="D38" s="25">
        <f t="shared" ref="D38:D40" si="23" xml:space="preserve"> SUM(J7:P7) + SUM(J19:P19)</f>
        <v>9</v>
      </c>
      <c r="E38" s="25">
        <f t="shared" ref="E38:E40" si="24" xml:space="preserve"> SUM(Q7:W7) + SUM(Q19:W19)</f>
        <v>5.4</v>
      </c>
      <c r="F38" s="25">
        <f t="shared" ref="F38:F41" si="25" xml:space="preserve"> SUM(C38:E38)</f>
        <v>17.060000000000002</v>
      </c>
    </row>
    <row r="39" spans="1:23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22"/>
        <v>1.25</v>
      </c>
      <c r="D39" s="25">
        <f t="shared" si="23"/>
        <v>3</v>
      </c>
      <c r="E39" s="25">
        <f t="shared" si="24"/>
        <v>9</v>
      </c>
      <c r="F39" s="25">
        <f t="shared" si="25"/>
        <v>13.25</v>
      </c>
    </row>
    <row r="40" spans="1:23" ht="15.75" thickBot="1" x14ac:dyDescent="0.3">
      <c r="A40" s="81"/>
      <c r="B40" s="17" t="e">
        <f xml:space="preserve"> CONCATENATE(Setup!#REF!, ", ", LEFT(Setup!#REF!,2))</f>
        <v>#REF!</v>
      </c>
      <c r="C40" s="25">
        <f t="shared" si="22"/>
        <v>0</v>
      </c>
      <c r="D40" s="25">
        <f t="shared" si="23"/>
        <v>0</v>
      </c>
      <c r="E40" s="25">
        <f t="shared" si="24"/>
        <v>0</v>
      </c>
      <c r="F40" s="25">
        <f t="shared" si="25"/>
        <v>0</v>
      </c>
    </row>
    <row r="41" spans="1:23" ht="16.5" thickBot="1" x14ac:dyDescent="0.3">
      <c r="A41" s="81"/>
      <c r="B41" s="18" t="s">
        <v>30</v>
      </c>
      <c r="C41" s="21">
        <f xml:space="preserve"> SUM(C37:C40)</f>
        <v>5.91</v>
      </c>
      <c r="D41" s="21">
        <f t="shared" ref="D41:E41" si="26" xml:space="preserve"> SUM(D37:D40)</f>
        <v>17</v>
      </c>
      <c r="E41" s="21">
        <f t="shared" si="26"/>
        <v>18.899999999999999</v>
      </c>
      <c r="F41" s="21">
        <f t="shared" si="25"/>
        <v>41.81</v>
      </c>
    </row>
    <row r="42" spans="1:23" ht="15.75" thickBot="1" x14ac:dyDescent="0.3">
      <c r="A42" s="19"/>
    </row>
    <row r="43" spans="1:23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C36</f>
        <v>2</v>
      </c>
      <c r="D43" s="25">
        <f xml:space="preserve"> SUM(C37:D37) / D$36</f>
        <v>3.5</v>
      </c>
      <c r="E43" s="25">
        <f xml:space="preserve"> SUM(C37:E37) / E$36</f>
        <v>3.8333333333333335</v>
      </c>
    </row>
    <row r="44" spans="1:23" ht="15.75" thickBot="1" x14ac:dyDescent="0.3">
      <c r="A44" s="81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t="shared" ref="D44:D46" si="27" xml:space="preserve"> SUM(C38:D38) / D$36</f>
        <v>5.83</v>
      </c>
      <c r="E44" s="25">
        <f t="shared" ref="E44:E46" si="28" xml:space="preserve"> SUM(C38:E38) / E$36</f>
        <v>5.6866666666666674</v>
      </c>
    </row>
    <row r="45" spans="1:23" ht="15.75" thickBot="1" x14ac:dyDescent="0.3">
      <c r="A45" s="81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t="shared" si="27"/>
        <v>2.125</v>
      </c>
      <c r="E45" s="25">
        <f t="shared" si="28"/>
        <v>4.416666666666667</v>
      </c>
    </row>
    <row r="46" spans="1:23" ht="15.75" thickBot="1" x14ac:dyDescent="0.3">
      <c r="A46" s="81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t="shared" si="27"/>
        <v>0</v>
      </c>
      <c r="E46" s="25">
        <f t="shared" si="28"/>
        <v>0</v>
      </c>
    </row>
    <row r="47" spans="1:23" ht="16.5" thickBot="1" x14ac:dyDescent="0.3">
      <c r="A47" s="81"/>
      <c r="B47" s="18" t="s">
        <v>30</v>
      </c>
      <c r="C47" s="21">
        <f xml:space="preserve"> SUM(C43:C46)</f>
        <v>5.91</v>
      </c>
      <c r="D47" s="21">
        <f t="shared" ref="D47:E47" si="29" xml:space="preserve"> SUM(D43:D46)</f>
        <v>11.455</v>
      </c>
      <c r="E47" s="21">
        <f t="shared" si="29"/>
        <v>13.936666666666667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Normal="100" zoomScalePageLayoutView="115" workbookViewId="0">
      <selection activeCell="C6" sqref="C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0.5</v>
      </c>
      <c r="E6" s="34">
        <v>0</v>
      </c>
      <c r="F6" s="34">
        <v>0.5</v>
      </c>
      <c r="G6" s="34">
        <v>0</v>
      </c>
      <c r="H6" s="34">
        <v>0</v>
      </c>
      <c r="I6" s="34">
        <v>0</v>
      </c>
      <c r="J6" s="61">
        <v>4.5</v>
      </c>
      <c r="K6" s="33">
        <v>0.5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1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1.5</v>
      </c>
      <c r="E10" s="21">
        <f t="shared" si="1"/>
        <v>0</v>
      </c>
      <c r="F10" s="21">
        <f t="shared" si="1"/>
        <v>0.5</v>
      </c>
      <c r="G10" s="21">
        <f t="shared" si="1"/>
        <v>0</v>
      </c>
      <c r="H10" s="21">
        <f t="shared" si="1"/>
        <v>0</v>
      </c>
      <c r="I10" s="62">
        <f t="shared" si="1"/>
        <v>2.5</v>
      </c>
      <c r="J10" s="63">
        <f t="shared" si="1"/>
        <v>4.5</v>
      </c>
      <c r="K10" s="21">
        <f t="shared" si="1"/>
        <v>2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1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0.5</v>
      </c>
      <c r="E12" s="22">
        <f t="shared" si="2"/>
        <v>0.5</v>
      </c>
      <c r="F12" s="22">
        <f t="shared" si="2"/>
        <v>1</v>
      </c>
      <c r="G12" s="22">
        <f t="shared" si="2"/>
        <v>1</v>
      </c>
      <c r="H12" s="22">
        <f t="shared" si="2"/>
        <v>1</v>
      </c>
      <c r="I12" s="64">
        <f t="shared" si="2"/>
        <v>1</v>
      </c>
      <c r="J12" s="65">
        <f t="shared" si="2"/>
        <v>5.5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4">
        <f t="shared" si="2"/>
        <v>6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4">
        <f t="shared" si="3"/>
        <v>0.5</v>
      </c>
      <c r="J13" s="65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4">
        <f t="shared" si="3"/>
        <v>2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4">
        <f t="shared" si="4"/>
        <v>3</v>
      </c>
      <c r="J14" s="65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4">
        <f t="shared" si="4"/>
        <v>4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1.5</v>
      </c>
      <c r="E16" s="21">
        <f t="shared" si="6"/>
        <v>1.5</v>
      </c>
      <c r="F16" s="21">
        <f t="shared" si="6"/>
        <v>2</v>
      </c>
      <c r="G16" s="21">
        <f t="shared" si="6"/>
        <v>2</v>
      </c>
      <c r="H16" s="21">
        <f t="shared" si="6"/>
        <v>2</v>
      </c>
      <c r="I16" s="62">
        <f t="shared" si="6"/>
        <v>4.5</v>
      </c>
      <c r="J16" s="63">
        <f t="shared" si="6"/>
        <v>9</v>
      </c>
      <c r="K16" s="21">
        <f t="shared" si="6"/>
        <v>11</v>
      </c>
      <c r="L16" s="21">
        <f t="shared" si="6"/>
        <v>11</v>
      </c>
      <c r="M16" s="21">
        <f t="shared" si="6"/>
        <v>11</v>
      </c>
      <c r="N16" s="21">
        <f t="shared" si="6"/>
        <v>11</v>
      </c>
      <c r="O16" s="21">
        <f t="shared" si="6"/>
        <v>11</v>
      </c>
      <c r="P16" s="62">
        <f t="shared" si="6"/>
        <v>12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1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1.5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1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2">
        <f t="shared" si="7"/>
        <v>1</v>
      </c>
      <c r="J22" s="63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2.5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1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4">
        <f t="shared" si="9"/>
        <v>5.75</v>
      </c>
      <c r="J25" s="65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4">
        <f t="shared" si="9"/>
        <v>7.25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0.5</v>
      </c>
      <c r="J26" s="65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4">
        <f t="shared" si="10"/>
        <v>1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2">
        <f t="shared" si="12"/>
        <v>6.25</v>
      </c>
      <c r="J28" s="63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2">
        <f t="shared" si="12"/>
        <v>9.25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0.25</v>
      </c>
      <c r="E30" s="22">
        <f t="shared" ref="E30:P30" si="13" xml:space="preserve"> (E$12 + E$24) / E$5</f>
        <v>0.16666666666666666</v>
      </c>
      <c r="F30" s="22">
        <f t="shared" si="13"/>
        <v>0.25</v>
      </c>
      <c r="G30" s="22">
        <f t="shared" si="13"/>
        <v>0.2</v>
      </c>
      <c r="H30" s="22">
        <f t="shared" si="13"/>
        <v>0.16666666666666666</v>
      </c>
      <c r="I30" s="64">
        <f t="shared" si="13"/>
        <v>0.14285714285714285</v>
      </c>
      <c r="J30" s="65">
        <f t="shared" si="13"/>
        <v>0.6875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4">
        <f t="shared" si="13"/>
        <v>0.5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4">
        <f t="shared" si="14"/>
        <v>0.8928571428571429</v>
      </c>
      <c r="J31" s="65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4">
        <f t="shared" si="14"/>
        <v>0.6607142857142857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4">
        <f t="shared" si="15"/>
        <v>0.5</v>
      </c>
      <c r="J32" s="65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4">
        <f t="shared" si="15"/>
        <v>0.35714285714285715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3.125</v>
      </c>
      <c r="E34" s="21">
        <f t="shared" si="17"/>
        <v>2.0833333333333335</v>
      </c>
      <c r="F34" s="21">
        <f t="shared" si="17"/>
        <v>1.8125</v>
      </c>
      <c r="G34" s="21">
        <f t="shared" si="17"/>
        <v>1.45</v>
      </c>
      <c r="H34" s="21">
        <f t="shared" si="17"/>
        <v>1.2083333333333333</v>
      </c>
      <c r="I34" s="62">
        <f t="shared" si="17"/>
        <v>1.5357142857142858</v>
      </c>
      <c r="J34" s="63">
        <f t="shared" si="17"/>
        <v>1.90625</v>
      </c>
      <c r="K34" s="21">
        <f t="shared" si="17"/>
        <v>1.9166666666666665</v>
      </c>
      <c r="L34" s="21">
        <f t="shared" si="17"/>
        <v>1.7749999999999999</v>
      </c>
      <c r="M34" s="21">
        <f t="shared" si="17"/>
        <v>1.6136363636363638</v>
      </c>
      <c r="N34" s="21">
        <f t="shared" si="17"/>
        <v>1.4791666666666667</v>
      </c>
      <c r="O34" s="21">
        <f t="shared" si="17"/>
        <v>1.3653846153846154</v>
      </c>
      <c r="P34" s="62">
        <f t="shared" si="17"/>
        <v>1.5178571428571428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6</v>
      </c>
      <c r="E37" s="25">
        <f xml:space="preserve"> SUM(C37:D37)</f>
        <v>7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6.25</v>
      </c>
      <c r="D38" s="25">
        <f t="shared" ref="D38:D40" si="19" xml:space="preserve"> SUM(J7:P7) + SUM(J19:P19)</f>
        <v>3</v>
      </c>
      <c r="E38" s="25">
        <f xml:space="preserve"> SUM(C38:D38)</f>
        <v>9.25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3.5</v>
      </c>
      <c r="D39" s="25">
        <f t="shared" si="19"/>
        <v>1.5</v>
      </c>
      <c r="E39" s="25">
        <f xml:space="preserve"> SUM(C39:D39)</f>
        <v>5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10.75</v>
      </c>
      <c r="D41" s="21">
        <f t="shared" ref="D41" si="20" xml:space="preserve"> SUM(D37:D40)</f>
        <v>10.5</v>
      </c>
      <c r="E41" s="21">
        <f xml:space="preserve"> SUM(C41:D41)</f>
        <v>21.25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3.5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6.25</v>
      </c>
      <c r="D44" s="25">
        <f t="shared" ref="D44:D46" si="22" xml:space="preserve"> SUM(C38:D38) / D$36</f>
        <v>4.625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3.5</v>
      </c>
      <c r="D45" s="25">
        <f t="shared" si="22"/>
        <v>2.5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10.75</v>
      </c>
      <c r="D47" s="21">
        <f t="shared" ref="D47" si="23" xml:space="preserve"> SUM(D43:D46)</f>
        <v>10.625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9" sqref="C9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2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0.25</v>
      </c>
      <c r="G6" s="34">
        <v>3.75</v>
      </c>
      <c r="H6" s="34">
        <v>0</v>
      </c>
      <c r="I6" s="34">
        <v>1</v>
      </c>
      <c r="J6" s="61">
        <v>4.5170000000000003</v>
      </c>
      <c r="K6" s="33">
        <v>0.48299999999999998</v>
      </c>
      <c r="L6" s="33">
        <v>0</v>
      </c>
      <c r="M6" s="33">
        <v>0</v>
      </c>
      <c r="N6" s="33">
        <v>0</v>
      </c>
      <c r="O6" s="33">
        <v>0</v>
      </c>
      <c r="P6" s="60">
        <v>5.5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1">
        <v>2</v>
      </c>
      <c r="K7" s="33">
        <v>6</v>
      </c>
      <c r="L7" s="33">
        <v>0</v>
      </c>
      <c r="M7" s="33">
        <v>0</v>
      </c>
      <c r="N7" s="33">
        <v>0</v>
      </c>
      <c r="O7" s="33">
        <v>0</v>
      </c>
      <c r="P7" s="60">
        <v>4.0030000000000001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5.0670000000000002</v>
      </c>
      <c r="J8" s="61">
        <v>0.5</v>
      </c>
      <c r="K8" s="33">
        <v>0</v>
      </c>
      <c r="L8" s="33">
        <v>0</v>
      </c>
      <c r="M8" s="33">
        <v>3</v>
      </c>
      <c r="N8" s="33">
        <v>0</v>
      </c>
      <c r="O8" s="33">
        <v>2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0.25</v>
      </c>
      <c r="G10" s="21">
        <f t="shared" si="1"/>
        <v>3.75</v>
      </c>
      <c r="H10" s="21">
        <f t="shared" si="1"/>
        <v>2</v>
      </c>
      <c r="I10" s="62">
        <f t="shared" si="1"/>
        <v>6.0670000000000002</v>
      </c>
      <c r="J10" s="63">
        <f t="shared" si="1"/>
        <v>7.0170000000000003</v>
      </c>
      <c r="K10" s="21">
        <f t="shared" si="1"/>
        <v>6.4829999999999997</v>
      </c>
      <c r="L10" s="21">
        <f t="shared" si="1"/>
        <v>0</v>
      </c>
      <c r="M10" s="21">
        <f t="shared" si="1"/>
        <v>3</v>
      </c>
      <c r="N10" s="21">
        <f t="shared" si="1"/>
        <v>0</v>
      </c>
      <c r="O10" s="21">
        <f t="shared" si="1"/>
        <v>2</v>
      </c>
      <c r="P10" s="62">
        <f t="shared" si="1"/>
        <v>9.5030000000000001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0.25</v>
      </c>
      <c r="G12" s="22">
        <f t="shared" si="2"/>
        <v>4</v>
      </c>
      <c r="H12" s="22">
        <f t="shared" si="2"/>
        <v>4</v>
      </c>
      <c r="I12" s="64">
        <f t="shared" si="2"/>
        <v>5</v>
      </c>
      <c r="J12" s="65">
        <f t="shared" si="2"/>
        <v>9.5169999999999995</v>
      </c>
      <c r="K12" s="22">
        <f t="shared" si="2"/>
        <v>10</v>
      </c>
      <c r="L12" s="22">
        <f t="shared" si="2"/>
        <v>10</v>
      </c>
      <c r="M12" s="22">
        <f t="shared" si="2"/>
        <v>10</v>
      </c>
      <c r="N12" s="22">
        <f t="shared" si="2"/>
        <v>10</v>
      </c>
      <c r="O12" s="22">
        <f t="shared" si="2"/>
        <v>10</v>
      </c>
      <c r="P12" s="64">
        <f t="shared" si="2"/>
        <v>15.5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4">
        <f t="shared" si="3"/>
        <v>2</v>
      </c>
      <c r="J13" s="65">
        <f t="shared" si="3"/>
        <v>4</v>
      </c>
      <c r="K13" s="22">
        <f t="shared" si="3"/>
        <v>10</v>
      </c>
      <c r="L13" s="22">
        <f t="shared" si="3"/>
        <v>10</v>
      </c>
      <c r="M13" s="22">
        <f t="shared" si="3"/>
        <v>10</v>
      </c>
      <c r="N13" s="22">
        <f t="shared" si="3"/>
        <v>10</v>
      </c>
      <c r="O13" s="22">
        <f t="shared" si="3"/>
        <v>10</v>
      </c>
      <c r="P13" s="64">
        <f t="shared" si="3"/>
        <v>14.003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5.0670000000000002</v>
      </c>
      <c r="J14" s="65">
        <f t="shared" si="4"/>
        <v>5.5670000000000002</v>
      </c>
      <c r="K14" s="22">
        <f t="shared" si="4"/>
        <v>5.5670000000000002</v>
      </c>
      <c r="L14" s="22">
        <f t="shared" si="4"/>
        <v>5.5670000000000002</v>
      </c>
      <c r="M14" s="22">
        <f t="shared" si="4"/>
        <v>8.5670000000000002</v>
      </c>
      <c r="N14" s="22">
        <f t="shared" si="4"/>
        <v>8.5670000000000002</v>
      </c>
      <c r="O14" s="22">
        <f t="shared" si="4"/>
        <v>10.567</v>
      </c>
      <c r="P14" s="64">
        <f t="shared" si="4"/>
        <v>10.567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0.25</v>
      </c>
      <c r="G16" s="21">
        <f t="shared" si="6"/>
        <v>4</v>
      </c>
      <c r="H16" s="21">
        <f t="shared" si="6"/>
        <v>6</v>
      </c>
      <c r="I16" s="62">
        <f t="shared" si="6"/>
        <v>12.067</v>
      </c>
      <c r="J16" s="63">
        <f t="shared" si="6"/>
        <v>19.084</v>
      </c>
      <c r="K16" s="21">
        <f t="shared" si="6"/>
        <v>25.567</v>
      </c>
      <c r="L16" s="21">
        <f t="shared" si="6"/>
        <v>25.567</v>
      </c>
      <c r="M16" s="21">
        <f t="shared" si="6"/>
        <v>28.567</v>
      </c>
      <c r="N16" s="21">
        <f t="shared" si="6"/>
        <v>28.567</v>
      </c>
      <c r="O16" s="21">
        <f t="shared" si="6"/>
        <v>30.567</v>
      </c>
      <c r="P16" s="62">
        <f t="shared" si="6"/>
        <v>40.07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6.25E-2</v>
      </c>
      <c r="G30" s="22">
        <f t="shared" si="13"/>
        <v>0.8</v>
      </c>
      <c r="H30" s="22">
        <f t="shared" si="13"/>
        <v>0.66666666666666663</v>
      </c>
      <c r="I30" s="64">
        <f t="shared" si="13"/>
        <v>0.7142857142857143</v>
      </c>
      <c r="J30" s="65">
        <f t="shared" si="13"/>
        <v>1.1896249999999999</v>
      </c>
      <c r="K30" s="22">
        <f t="shared" si="13"/>
        <v>1.1111111111111112</v>
      </c>
      <c r="L30" s="22">
        <f t="shared" si="13"/>
        <v>1</v>
      </c>
      <c r="M30" s="22">
        <f t="shared" si="13"/>
        <v>0.90909090909090906</v>
      </c>
      <c r="N30" s="22">
        <f t="shared" si="13"/>
        <v>0.83333333333333337</v>
      </c>
      <c r="O30" s="22">
        <f t="shared" si="13"/>
        <v>0.76923076923076927</v>
      </c>
      <c r="P30" s="64">
        <f t="shared" si="13"/>
        <v>1.1071428571428572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4">
        <f t="shared" si="14"/>
        <v>0.2857142857142857</v>
      </c>
      <c r="J31" s="65">
        <f t="shared" si="14"/>
        <v>0.5</v>
      </c>
      <c r="K31" s="22">
        <f t="shared" si="14"/>
        <v>1.1111111111111112</v>
      </c>
      <c r="L31" s="22">
        <f t="shared" si="14"/>
        <v>1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0.76923076923076927</v>
      </c>
      <c r="P31" s="64">
        <f t="shared" si="14"/>
        <v>1.0002142857142857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0.72385714285714287</v>
      </c>
      <c r="J32" s="65">
        <f t="shared" si="15"/>
        <v>0.69587500000000002</v>
      </c>
      <c r="K32" s="22">
        <f t="shared" si="15"/>
        <v>0.61855555555555553</v>
      </c>
      <c r="L32" s="22">
        <f t="shared" si="15"/>
        <v>0.55669999999999997</v>
      </c>
      <c r="M32" s="22">
        <f t="shared" si="15"/>
        <v>0.77881818181818185</v>
      </c>
      <c r="N32" s="22">
        <f t="shared" si="15"/>
        <v>0.71391666666666664</v>
      </c>
      <c r="O32" s="22">
        <f t="shared" si="15"/>
        <v>0.81284615384615388</v>
      </c>
      <c r="P32" s="64">
        <f t="shared" si="15"/>
        <v>0.75478571428571428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6.25E-2</v>
      </c>
      <c r="G34" s="21">
        <f t="shared" si="17"/>
        <v>0.8</v>
      </c>
      <c r="H34" s="21">
        <f t="shared" si="17"/>
        <v>1</v>
      </c>
      <c r="I34" s="62">
        <f t="shared" si="17"/>
        <v>1.7238571428571428</v>
      </c>
      <c r="J34" s="63">
        <f t="shared" si="17"/>
        <v>2.3855</v>
      </c>
      <c r="K34" s="21">
        <f t="shared" si="17"/>
        <v>2.8407777777777778</v>
      </c>
      <c r="L34" s="21">
        <f t="shared" si="17"/>
        <v>2.5567000000000002</v>
      </c>
      <c r="M34" s="21">
        <f t="shared" si="17"/>
        <v>2.597</v>
      </c>
      <c r="N34" s="21">
        <f t="shared" si="17"/>
        <v>2.3805833333333335</v>
      </c>
      <c r="O34" s="21">
        <f t="shared" si="17"/>
        <v>2.3513076923076923</v>
      </c>
      <c r="P34" s="62">
        <f t="shared" si="17"/>
        <v>2.8621428571428571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5</v>
      </c>
      <c r="D37" s="25">
        <f xml:space="preserve"> SUM(J6:P6) + SUM(J18:P18)</f>
        <v>10.5</v>
      </c>
      <c r="E37" s="25">
        <f xml:space="preserve"> SUM(C37:D37)</f>
        <v>15.5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2</v>
      </c>
      <c r="D38" s="25">
        <f t="shared" ref="D38:D40" si="19" xml:space="preserve"> SUM(J7:P7) + SUM(J19:P19)</f>
        <v>12.003</v>
      </c>
      <c r="E38" s="25">
        <f xml:space="preserve"> SUM(C38:D38)</f>
        <v>14.003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5.0670000000000002</v>
      </c>
      <c r="D39" s="25">
        <f t="shared" si="19"/>
        <v>5.5</v>
      </c>
      <c r="E39" s="25">
        <f xml:space="preserve"> SUM(C39:D39)</f>
        <v>10.567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12.067</v>
      </c>
      <c r="D41" s="21">
        <f t="shared" ref="D41" si="20" xml:space="preserve"> SUM(D37:D40)</f>
        <v>28.003</v>
      </c>
      <c r="E41" s="21">
        <f xml:space="preserve"> SUM(C41:D41)</f>
        <v>40.07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5</v>
      </c>
      <c r="D43" s="25">
        <f xml:space="preserve"> SUM(C37:D37) / D$36</f>
        <v>7.75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2</v>
      </c>
      <c r="D44" s="25">
        <f t="shared" ref="D44:D46" si="22" xml:space="preserve"> SUM(C38:D38) / D$36</f>
        <v>7.0015000000000001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5.0670000000000002</v>
      </c>
      <c r="D45" s="25">
        <f t="shared" si="22"/>
        <v>5.2835000000000001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12.067</v>
      </c>
      <c r="D47" s="21">
        <f t="shared" ref="D47" si="23" xml:space="preserve"> SUM(D43:D46)</f>
        <v>20.035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D12" sqref="D12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3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t="shared" ref="C10:P10" si="1" xml:space="preserve"> SUM(C6:C9)</f>
        <v>0</v>
      </c>
      <c r="D10" s="21">
        <f t="shared" si="1"/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</v>
      </c>
      <c r="D30" s="22">
        <f t="shared" si="13"/>
        <v>0</v>
      </c>
      <c r="E30" s="22">
        <f t="shared" si="13"/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0</v>
      </c>
      <c r="E31" s="22">
        <f t="shared" si="14"/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0</v>
      </c>
      <c r="E32" s="22">
        <f t="shared" si="15"/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xml:space="preserve"> SUM(C7:I7) + SUM(C19:I19)</f>
        <v>0</v>
      </c>
      <c r="D38" s="25">
        <f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xml:space="preserve"> SUM(C8:I8) + SUM(C20:I20)</f>
        <v>0</v>
      </c>
      <c r="D39" s="25">
        <f xml:space="preserve"> SUM(J8:P8) + SUM(J20:P20)</f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18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19" xml:space="preserve"> C38 / C$36</f>
        <v>0</v>
      </c>
      <c r="D44" s="25">
        <f t="shared" ref="D44:D46" si="20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19"/>
        <v>0</v>
      </c>
      <c r="D45" s="25">
        <f t="shared" si="20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19"/>
        <v>0</v>
      </c>
      <c r="D46" s="25">
        <f t="shared" si="20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1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0" sqref="C40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F20" sqref="F20"/>
    </sheetView>
  </sheetViews>
  <sheetFormatPr defaultColWidth="8.85546875"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26</v>
      </c>
    </row>
    <row r="3" spans="1:3" x14ac:dyDescent="0.25">
      <c r="A3" s="3" t="s">
        <v>1</v>
      </c>
      <c r="B3" s="40">
        <v>42254</v>
      </c>
    </row>
    <row r="4" spans="1:3" x14ac:dyDescent="0.25">
      <c r="A4" s="3" t="s">
        <v>25</v>
      </c>
      <c r="B4" s="40">
        <v>42380</v>
      </c>
    </row>
    <row r="5" spans="1:3" x14ac:dyDescent="0.25">
      <c r="A5" s="3"/>
    </row>
    <row r="6" spans="1:3" ht="15.75" thickBot="1" x14ac:dyDescent="0.3">
      <c r="B6" s="2" t="s">
        <v>0</v>
      </c>
      <c r="C6" s="2" t="s">
        <v>28</v>
      </c>
    </row>
    <row r="7" spans="1:3" ht="15.75" thickBot="1" x14ac:dyDescent="0.3">
      <c r="A7" s="3" t="s">
        <v>2</v>
      </c>
      <c r="B7" s="13" t="s">
        <v>46</v>
      </c>
      <c r="C7" s="16" t="s">
        <v>47</v>
      </c>
    </row>
    <row r="8" spans="1:3" ht="15.75" thickBot="1" x14ac:dyDescent="0.3">
      <c r="A8" s="3" t="s">
        <v>3</v>
      </c>
      <c r="B8" s="13" t="s">
        <v>48</v>
      </c>
      <c r="C8" s="16" t="s">
        <v>49</v>
      </c>
    </row>
    <row r="9" spans="1:3" ht="15.75" thickBot="1" x14ac:dyDescent="0.3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2015-10-27T02:09:20Z</dcterms:modified>
</cp:coreProperties>
</file>